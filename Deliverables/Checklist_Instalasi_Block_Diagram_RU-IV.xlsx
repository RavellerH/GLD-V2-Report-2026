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Checklist LGU" sheetId="2" state="visible" r:id="rId2"/>
    <sheet xmlns:r="http://schemas.openxmlformats.org/officeDocument/2006/relationships" name="Checklist RU IV Pertamina" sheetId="3" state="visible" r:id="rId3"/>
    <sheet xmlns:r="http://schemas.openxmlformats.org/officeDocument/2006/relationships" name="Diagram" sheetId="4" state="visible" r:id="rId4"/>
  </sheets>
  <definedNames>
    <definedName name="_xlnm._FilterDatabase" localSheetId="1" hidden="1">'Checklist LGU'!$A$4:$K$23</definedName>
    <definedName name="_xlnm._FilterDatabase" localSheetId="2" hidden="1">'Checklist RU IV Pertamina'!$A$4:$K$22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B66"/>
      <sz val="9.5"/>
    </font>
    <font>
      <b val="1"/>
      <color rgb="00FFFFFF"/>
      <sz val="10"/>
    </font>
    <font>
      <sz val="9.5"/>
    </font>
    <font>
      <b val="1"/>
      <color rgb="001B2A4A"/>
      <sz val="14"/>
    </font>
    <font>
      <b val="1"/>
      <color rgb="001B2A4A"/>
      <sz val="11"/>
    </font>
    <font>
      <b val="1"/>
      <color rgb="00FFFFFF"/>
    </font>
    <font>
      <b val="1"/>
      <color rgb="00B3261E"/>
    </font>
    <font>
      <b val="1"/>
      <color rgb="009A6200"/>
    </font>
    <font>
      <b val="1"/>
      <color rgb="001E7B3A"/>
    </font>
    <font>
      <b val="1"/>
      <color rgb="00666666"/>
    </font>
    <font>
      <b val="1"/>
    </font>
    <font>
      <b val="1"/>
      <color rgb="001B2A4A"/>
      <sz val="12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B5FCB"/>
      </patternFill>
    </fill>
    <fill>
      <patternFill patternType="solid">
        <fgColor rgb="00EAF2FD"/>
      </patternFill>
    </fill>
    <fill>
      <patternFill patternType="solid">
        <fgColor rgb="00FFF8E1"/>
      </patternFill>
    </fill>
    <fill>
      <patternFill patternType="solid">
        <fgColor rgb="00F2F2F2"/>
      </patternFill>
    </fill>
    <fill>
      <patternFill patternType="solid">
        <fgColor rgb="00FBE6E4"/>
      </patternFill>
    </fill>
    <fill>
      <patternFill patternType="solid">
        <fgColor rgb="00FFF3DC"/>
      </patternFill>
    </fill>
    <fill>
      <patternFill patternType="solid">
        <fgColor rgb="00EAF4E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7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9" fillId="8" borderId="1" pivotButton="0" quotePrefix="0" xfId="0"/>
    <xf numFmtId="0" fontId="10" fillId="9" borderId="1" pivotButton="0" quotePrefix="0" xfId="0"/>
    <xf numFmtId="0" fontId="11" fillId="10" borderId="1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dxfs count="4">
    <dxf>
      <font>
        <b val="1"/>
        <color rgb="00B3261E"/>
      </font>
      <fill>
        <patternFill patternType="solid">
          <fgColor rgb="00FBE6E4"/>
        </patternFill>
      </fill>
    </dxf>
    <dxf>
      <font>
        <b val="1"/>
        <color rgb="009A6200"/>
      </font>
      <fill>
        <patternFill patternType="solid">
          <fgColor rgb="00FFF3DC"/>
        </patternFill>
      </fill>
    </dxf>
    <dxf>
      <font>
        <b val="1"/>
        <color rgb="001E7B3A"/>
      </font>
      <fill>
        <patternFill patternType="solid">
          <fgColor rgb="00EAF4EC"/>
        </patternFill>
      </fill>
    </dxf>
    <dxf>
      <font>
        <b val="1"/>
        <color rgb="00666666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536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Ringkasan status checklist instalasi GLD — RU IV Cilacap</t>
        </is>
      </c>
    </row>
    <row r="3">
      <c r="A3" s="2" t="inlineStr">
        <is>
          <t>Checklist LGU</t>
        </is>
      </c>
    </row>
    <row r="4">
      <c r="A4" s="3" t="inlineStr">
        <is>
          <t>Status</t>
        </is>
      </c>
      <c r="B4" s="3" t="inlineStr">
        <is>
          <t>Jumlah</t>
        </is>
      </c>
      <c r="C4" s="3" t="inlineStr">
        <is>
          <t>%</t>
        </is>
      </c>
    </row>
    <row r="5">
      <c r="A5" s="4" t="inlineStr">
        <is>
          <t>Belum</t>
        </is>
      </c>
      <c r="B5" s="5">
        <f>COUNTIF('Checklist LGU'!$G$5:$G$23,"Belum")</f>
        <v/>
      </c>
      <c r="C5" s="6">
        <f>IF($B$9=0,0,B5/$B$9)</f>
        <v/>
      </c>
    </row>
    <row r="6">
      <c r="A6" s="7" t="inlineStr">
        <is>
          <t>Proses</t>
        </is>
      </c>
      <c r="B6" s="5">
        <f>COUNTIF('Checklist LGU'!$G$5:$G$23,"Proses")</f>
        <v/>
      </c>
      <c r="C6" s="6">
        <f>IF($B$9=0,0,B6/$B$9)</f>
        <v/>
      </c>
    </row>
    <row r="7">
      <c r="A7" s="8" t="inlineStr">
        <is>
          <t>Selesai</t>
        </is>
      </c>
      <c r="B7" s="5">
        <f>COUNTIF('Checklist LGU'!$G$5:$G$23,"Selesai")</f>
        <v/>
      </c>
      <c r="C7" s="6">
        <f>IF($B$9=0,0,B7/$B$9)</f>
        <v/>
      </c>
    </row>
    <row r="8">
      <c r="A8" s="9" t="inlineStr">
        <is>
          <t>N.A.</t>
        </is>
      </c>
      <c r="B8" s="5">
        <f>COUNTIF('Checklist LGU'!$G$5:$G$23,"N.A.")</f>
        <v/>
      </c>
      <c r="C8" s="6">
        <f>IF($B$9=0,0,B8/$B$9)</f>
        <v/>
      </c>
    </row>
    <row r="9">
      <c r="A9" s="10" t="inlineStr">
        <is>
          <t>Total</t>
        </is>
      </c>
      <c r="B9" s="10">
        <f>SUM(B5:B8)</f>
        <v/>
      </c>
    </row>
    <row r="11">
      <c r="A11" s="2" t="inlineStr">
        <is>
          <t>Checklist RU IV Pertamina</t>
        </is>
      </c>
    </row>
    <row r="12">
      <c r="A12" s="3" t="inlineStr">
        <is>
          <t>Status</t>
        </is>
      </c>
      <c r="B12" s="3" t="inlineStr">
        <is>
          <t>Jumlah</t>
        </is>
      </c>
      <c r="C12" s="3" t="inlineStr">
        <is>
          <t>%</t>
        </is>
      </c>
    </row>
    <row r="13">
      <c r="A13" s="4" t="inlineStr">
        <is>
          <t>Belum</t>
        </is>
      </c>
      <c r="B13" s="5">
        <f>COUNTIF('Checklist RU IV Pertamina'!$G$5:$G$22,"Belum")</f>
        <v/>
      </c>
      <c r="C13" s="6">
        <f>IF($B$17=0,0,B13/$B$17)</f>
        <v/>
      </c>
    </row>
    <row r="14">
      <c r="A14" s="7" t="inlineStr">
        <is>
          <t>Proses</t>
        </is>
      </c>
      <c r="B14" s="5">
        <f>COUNTIF('Checklist RU IV Pertamina'!$G$5:$G$22,"Proses")</f>
        <v/>
      </c>
      <c r="C14" s="6">
        <f>IF($B$17=0,0,B14/$B$17)</f>
        <v/>
      </c>
    </row>
    <row r="15">
      <c r="A15" s="8" t="inlineStr">
        <is>
          <t>Selesai</t>
        </is>
      </c>
      <c r="B15" s="5">
        <f>COUNTIF('Checklist RU IV Pertamina'!$G$5:$G$22,"Selesai")</f>
        <v/>
      </c>
      <c r="C15" s="6">
        <f>IF($B$17=0,0,B15/$B$17)</f>
        <v/>
      </c>
    </row>
    <row r="16">
      <c r="A16" s="9" t="inlineStr">
        <is>
          <t>N.A.</t>
        </is>
      </c>
      <c r="B16" s="5">
        <f>COUNTIF('Checklist RU IV Pertamina'!$G$5:$G$22,"N.A.")</f>
        <v/>
      </c>
      <c r="C16" s="6">
        <f>IF($B$17=0,0,B16/$B$17)</f>
        <v/>
      </c>
    </row>
    <row r="17">
      <c r="A17" s="10" t="inlineStr">
        <is>
          <t>Total</t>
        </is>
      </c>
      <c r="B17" s="10">
        <f>SUM(B13:B16)</f>
        <v/>
      </c>
    </row>
    <row r="19" ht="30" customHeight="1">
      <c r="A19" s="11" t="inlineStr">
        <is>
          <t>Warna lingkup (sesuai diagram): biru = disuplai LGU; kuning = disuplai/dipasang PTMN (RU IV).</t>
        </is>
      </c>
    </row>
    <row r="20" ht="30" customHeight="1">
      <c r="A20" s="11" t="inlineStr">
        <is>
          <t>Jalur: merah = daya (220 VAC / 24 VDC); putus-putus biru = LoRa; titik biru = WiFi 2,4 GHz; biru tegas = LAN Cat6 lokal tanpa internet.</t>
        </is>
      </c>
    </row>
    <row r="21" ht="30" customHeight="1">
      <c r="A21" s="11" t="inlineStr">
        <is>
          <t>Mounting CH tidak digambarkan di diagram — perlu dikonfirmasi (L-19 / R-09).</t>
        </is>
      </c>
    </row>
    <row r="22" ht="30" customHeight="1">
      <c r="A22" s="11" t="inlineStr">
        <is>
          <t>Penyedia kabel LAN Cat6 router → server tidak ditandai di diagram — perlu dikonfirmasi (L-10).</t>
        </is>
      </c>
    </row>
  </sheetData>
  <mergeCells count="4">
    <mergeCell ref="A19:F19"/>
    <mergeCell ref="A21:F21"/>
    <mergeCell ref="A20:F20"/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5FCB"/>
    <outlinePr summaryBelow="1" summaryRight="1"/>
    <pageSetUpPr/>
  </sheetPr>
  <dimension ref="A1:K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32" customWidth="1" min="4" max="4"/>
    <col width="46" customWidth="1" min="5" max="5"/>
    <col width="24" customWidth="1" min="6" max="6"/>
    <col width="11" customWidth="1" min="7" max="7"/>
    <col width="14" customWidth="1" min="8" max="8"/>
    <col width="12" customWidth="1" min="9" max="9"/>
    <col width="22" customWidth="1" min="10" max="10"/>
    <col width="24" customWidth="1" min="11" max="11"/>
  </cols>
  <sheetData>
    <row r="1" ht="24" customHeight="1">
      <c r="A1" s="12" t="inlineStr">
        <is>
          <t>Checklist LGU — Penyedia (Supplier) Sistem GLD, RU IV Cilacap</t>
        </is>
      </c>
    </row>
    <row r="2" ht="42" customHeight="1">
      <c r="A2" s="13" t="inlineStr">
        <is>
          <t>LGU: menyediakan GLD, CH, solar cell, Gateway, router WiFi &amp; adaptor; konfigurasi perangkat &amp; aplikasi; supervisi/QA pemasangan; energize &amp; commissioning. Disusun dari block diagram lingkup final. Status per 28 Oktober 2026: semua item 'Belum' karena instalasi belum dimulai. Pilih status dari dropdown kolom G. Kolom 'Terkait pihak lain' merujuk ID di checklist pihak lain.</t>
        </is>
      </c>
    </row>
    <row r="4">
      <c r="A4" s="14" t="inlineStr">
        <is>
          <t>No</t>
        </is>
      </c>
      <c r="B4" s="14" t="inlineStr">
        <is>
          <t>Area</t>
        </is>
      </c>
      <c r="C4" s="14" t="inlineStr">
        <is>
          <t>Komponen / jalur</t>
        </is>
      </c>
      <c r="D4" s="14" t="inlineStr">
        <is>
          <t>Spesifikasi (dari diagram)</t>
        </is>
      </c>
      <c r="E4" s="14" t="inlineStr">
        <is>
          <t>Item yang dicek</t>
        </is>
      </c>
      <c r="F4" s="14" t="inlineStr">
        <is>
          <t>Terkait pihak lain</t>
        </is>
      </c>
      <c r="G4" s="14" t="inlineStr">
        <is>
          <t>Status</t>
        </is>
      </c>
      <c r="H4" s="14" t="inlineStr">
        <is>
          <t>PIC</t>
        </is>
      </c>
      <c r="I4" s="14" t="inlineStr">
        <is>
          <t>Tanggal cek</t>
        </is>
      </c>
      <c r="J4" s="14" t="inlineStr">
        <is>
          <t>Bukti (foto / dokumen)</t>
        </is>
      </c>
      <c r="K4" s="14" t="inlineStr">
        <is>
          <t>Catatan</t>
        </is>
      </c>
    </row>
    <row r="5">
      <c r="A5" s="15" t="inlineStr">
        <is>
          <t>L-01</t>
        </is>
      </c>
      <c r="B5" s="16" t="inlineStr">
        <is>
          <t>Field</t>
        </is>
      </c>
      <c r="C5" s="15" t="inlineStr">
        <is>
          <t>GL Detector</t>
        </is>
      </c>
      <c r="D5" s="15" t="inlineStr">
        <is>
          <t>Node GLD V2, catu 24 VDC (disuplai LGU)</t>
        </is>
      </c>
      <c r="E5" s="15" t="inlineStr">
        <is>
          <t>Unit tersedia; nomor seri tercatat; uji fungsi sebelum kirim (sensor, alarm, LoRa)</t>
        </is>
      </c>
      <c r="F5" s="15" t="inlineStr">
        <is>
          <t>—</t>
        </is>
      </c>
      <c r="G5" s="15" t="inlineStr">
        <is>
          <t>Belum</t>
        </is>
      </c>
      <c r="H5" s="15" t="inlineStr"/>
      <c r="I5" s="15" t="inlineStr"/>
      <c r="J5" s="15" t="inlineStr"/>
      <c r="K5" s="15" t="inlineStr"/>
    </row>
    <row r="6">
      <c r="A6" s="15" t="inlineStr">
        <is>
          <t>L-02</t>
        </is>
      </c>
      <c r="B6" s="16" t="inlineStr">
        <is>
          <t>Field</t>
        </is>
      </c>
      <c r="C6" s="15" t="inlineStr">
        <is>
          <t>GL Detector — cable entry</t>
        </is>
      </c>
      <c r="D6" s="15" t="inlineStr">
        <is>
          <t>Gland M20×1,5 (butir 5)</t>
        </is>
      </c>
      <c r="E6" s="15" t="inlineStr">
        <is>
          <t>Gland sesuai kabel 2C 16AWG tersedia; blanking plug untuk entry tak terpakai</t>
        </is>
      </c>
      <c r="F6" s="15" t="inlineStr">
        <is>
          <t>RU IV memasukkan kabel (R-07)</t>
        </is>
      </c>
      <c r="G6" s="15" t="inlineStr">
        <is>
          <t>Belum</t>
        </is>
      </c>
      <c r="H6" s="15" t="inlineStr"/>
      <c r="I6" s="15" t="inlineStr"/>
      <c r="J6" s="15" t="inlineStr"/>
      <c r="K6" s="15" t="inlineStr"/>
    </row>
    <row r="7">
      <c r="A7" s="15" t="inlineStr">
        <is>
          <t>L-03</t>
        </is>
      </c>
      <c r="B7" s="16" t="inlineStr">
        <is>
          <t>Field</t>
        </is>
      </c>
      <c r="C7" s="15" t="inlineStr">
        <is>
          <t>GL Detector — antena &amp; konfigurasi</t>
        </is>
      </c>
      <c r="D7" s="15" t="inlineStr">
        <is>
          <t>LoRa 920 MHz ke CH</t>
        </is>
      </c>
      <c r="E7" s="15" t="inlineStr">
        <is>
          <t>Antena terpasang kencang; ID node &amp; frekuensi terkonfigurasi</t>
        </is>
      </c>
      <c r="F7" s="15" t="inlineStr">
        <is>
          <t>—</t>
        </is>
      </c>
      <c r="G7" s="15" t="inlineStr">
        <is>
          <t>Belum</t>
        </is>
      </c>
      <c r="H7" s="15" t="inlineStr"/>
      <c r="I7" s="15" t="inlineStr"/>
      <c r="J7" s="15" t="inlineStr"/>
      <c r="K7" s="15" t="inlineStr"/>
    </row>
    <row r="8">
      <c r="A8" s="15" t="inlineStr">
        <is>
          <t>L-04</t>
        </is>
      </c>
      <c r="B8" s="16" t="inlineStr">
        <is>
          <t>Field</t>
        </is>
      </c>
      <c r="C8" s="15" t="inlineStr">
        <is>
          <t>Cluster Head (CH)</t>
        </is>
      </c>
      <c r="D8" s="15" t="inlineStr">
        <is>
          <t>CH, LoRa dari GLD dan ke Gateway</t>
        </is>
      </c>
      <c r="E8" s="15" t="inlineStr">
        <is>
          <t>Unit tersedia &amp; teruji; konfigurasi star/mesh; nomor seri tercatat</t>
        </is>
      </c>
      <c r="F8" s="15" t="inlineStr">
        <is>
          <t>RU IV memasang (R-08)</t>
        </is>
      </c>
      <c r="G8" s="15" t="inlineStr">
        <is>
          <t>Belum</t>
        </is>
      </c>
      <c r="H8" s="15" t="inlineStr"/>
      <c r="I8" s="15" t="inlineStr"/>
      <c r="J8" s="15" t="inlineStr"/>
      <c r="K8" s="15" t="inlineStr"/>
    </row>
    <row r="9">
      <c r="A9" s="15" t="inlineStr">
        <is>
          <t>L-05</t>
        </is>
      </c>
      <c r="B9" s="16" t="inlineStr">
        <is>
          <t>Field</t>
        </is>
      </c>
      <c r="C9" s="15" t="inlineStr">
        <is>
          <t>Solar cell CH</t>
        </is>
      </c>
      <c r="D9" s="15" t="inlineStr">
        <is>
          <t>Solar cell → CH</t>
        </is>
      </c>
      <c r="E9" s="15" t="inlineStr">
        <is>
          <t>Panel &amp; kabel ke CH tersedia; tegangan pengisian diuji di lab</t>
        </is>
      </c>
      <c r="F9" s="15" t="inlineStr">
        <is>
          <t>RU IV memasang (R-08)</t>
        </is>
      </c>
      <c r="G9" s="15" t="inlineStr">
        <is>
          <t>Belum</t>
        </is>
      </c>
      <c r="H9" s="15" t="inlineStr"/>
      <c r="I9" s="15" t="inlineStr"/>
      <c r="J9" s="15" t="inlineStr"/>
      <c r="K9" s="15" t="inlineStr"/>
    </row>
    <row r="10">
      <c r="A10" s="15" t="inlineStr">
        <is>
          <t>L-06</t>
        </is>
      </c>
      <c r="B10" s="17" t="inlineStr">
        <is>
          <t>Building</t>
        </is>
      </c>
      <c r="C10" s="15" t="inlineStr">
        <is>
          <t>Gateway</t>
        </is>
      </c>
      <c r="D10" s="15" t="inlineStr">
        <is>
          <t>Gateway (Provided by LGU), 5 VDC (butir 6)</t>
        </is>
      </c>
      <c r="E10" s="15" t="inlineStr">
        <is>
          <t>Unit tersedia; konfigurasi frekuensi 921 MHz; menerima data CH di lab</t>
        </is>
      </c>
      <c r="F10" s="15" t="inlineStr">
        <is>
          <t>RU IV memasang (R-10)</t>
        </is>
      </c>
      <c r="G10" s="15" t="inlineStr">
        <is>
          <t>Belum</t>
        </is>
      </c>
      <c r="H10" s="15" t="inlineStr"/>
      <c r="I10" s="15" t="inlineStr"/>
      <c r="J10" s="15" t="inlineStr"/>
      <c r="K10" s="15" t="inlineStr"/>
    </row>
    <row r="11">
      <c r="A11" s="15" t="inlineStr">
        <is>
          <t>L-07</t>
        </is>
      </c>
      <c r="B11" s="17" t="inlineStr">
        <is>
          <t>Building</t>
        </is>
      </c>
      <c r="C11" s="15" t="inlineStr">
        <is>
          <t>Adaptor Gateway</t>
        </is>
      </c>
      <c r="D11" s="15" t="inlineStr">
        <is>
          <t>Adaptor 5 VDC, catu dari UPS</t>
        </is>
      </c>
      <c r="E11" s="15" t="inlineStr">
        <is>
          <t>Adaptor tersedia; tegangan keluaran terukur</t>
        </is>
      </c>
      <c r="F11" s="15" t="inlineStr">
        <is>
          <t>Outlet UPS dari RU IV (R-12)</t>
        </is>
      </c>
      <c r="G11" s="15" t="inlineStr">
        <is>
          <t>Belum</t>
        </is>
      </c>
      <c r="H11" s="15" t="inlineStr"/>
      <c r="I11" s="15" t="inlineStr"/>
      <c r="J11" s="15" t="inlineStr"/>
      <c r="K11" s="15" t="inlineStr"/>
    </row>
    <row r="12">
      <c r="A12" s="15" t="inlineStr">
        <is>
          <t>L-08</t>
        </is>
      </c>
      <c r="B12" s="17" t="inlineStr">
        <is>
          <t>Building</t>
        </is>
      </c>
      <c r="C12" s="15" t="inlineStr">
        <is>
          <t>WiFi Router 2,4 GHz</t>
        </is>
      </c>
      <c r="D12" s="15" t="inlineStr">
        <is>
          <t>WiFi Router 2.4 GHz (Provided by LGU) (butir 7)</t>
        </is>
      </c>
      <c r="E12" s="15" t="inlineStr">
        <is>
          <t>Router tersedia &amp; dikonfigurasi (SSID lokal, tanpa internet); berlabel sertifikat SDPPI</t>
        </is>
      </c>
      <c r="F12" s="15" t="inlineStr">
        <is>
          <t>—</t>
        </is>
      </c>
      <c r="G12" s="15" t="inlineStr">
        <is>
          <t>Belum</t>
        </is>
      </c>
      <c r="H12" s="15" t="inlineStr"/>
      <c r="I12" s="15" t="inlineStr"/>
      <c r="J12" s="15" t="inlineStr"/>
      <c r="K12" s="15" t="inlineStr"/>
    </row>
    <row r="13">
      <c r="A13" s="15" t="inlineStr">
        <is>
          <t>L-09</t>
        </is>
      </c>
      <c r="B13" s="17" t="inlineStr">
        <is>
          <t>Building</t>
        </is>
      </c>
      <c r="C13" s="15" t="inlineStr">
        <is>
          <t>Adaptor Router</t>
        </is>
      </c>
      <c r="D13" s="15" t="inlineStr">
        <is>
          <t>Adaptor router, catu dari UPS</t>
        </is>
      </c>
      <c r="E13" s="15" t="inlineStr">
        <is>
          <t>Adaptor tersedia &amp; sesuai router</t>
        </is>
      </c>
      <c r="F13" s="15" t="inlineStr">
        <is>
          <t>Outlet UPS dari RU IV (R-12)</t>
        </is>
      </c>
      <c r="G13" s="15" t="inlineStr">
        <is>
          <t>Belum</t>
        </is>
      </c>
      <c r="H13" s="15" t="inlineStr"/>
      <c r="I13" s="15" t="inlineStr"/>
      <c r="J13" s="15" t="inlineStr"/>
      <c r="K13" s="15" t="inlineStr"/>
    </row>
    <row r="14">
      <c r="A14" s="15" t="inlineStr">
        <is>
          <t>L-10</t>
        </is>
      </c>
      <c r="B14" s="17" t="inlineStr">
        <is>
          <t>Building</t>
        </is>
      </c>
      <c r="C14" s="15" t="inlineStr">
        <is>
          <t>LAN Cat6 Router → Server</t>
        </is>
      </c>
      <c r="D14" s="15" t="inlineStr">
        <is>
          <t>LAN Cable Cat6 lokal, tanpa internet (butir 8)</t>
        </is>
      </c>
      <c r="E14" s="15" t="inlineStr">
        <is>
          <t>Kabel Cat6 tersedia &amp; berlabel; ping router ↔ server berhasil</t>
        </is>
      </c>
      <c r="F14" s="15" t="inlineStr">
        <is>
          <t>Penyedia kabel perlu dikonfirmasi</t>
        </is>
      </c>
      <c r="G14" s="15" t="inlineStr">
        <is>
          <t>Belum</t>
        </is>
      </c>
      <c r="H14" s="15" t="inlineStr"/>
      <c r="I14" s="15" t="inlineStr"/>
      <c r="J14" s="15" t="inlineStr"/>
      <c r="K14" s="15" t="inlineStr"/>
    </row>
    <row r="15">
      <c r="A15" s="15" t="inlineStr">
        <is>
          <t>L-11</t>
        </is>
      </c>
      <c r="B15" s="17" t="inlineStr">
        <is>
          <t>Building</t>
        </is>
      </c>
      <c r="C15" s="15" t="inlineStr">
        <is>
          <t>Aplikasi di server</t>
        </is>
      </c>
      <c r="D15" s="15" t="inlineStr">
        <is>
          <t>Server (disediakan RU IV)</t>
        </is>
      </c>
      <c r="E15" s="15" t="inlineStr">
        <is>
          <t>Broker MQTT, backend &amp; dashboard GLD terpasang di PC server</t>
        </is>
      </c>
      <c r="F15" s="15" t="inlineStr">
        <is>
          <t>Server dari RU IV (R-13)</t>
        </is>
      </c>
      <c r="G15" s="15" t="inlineStr">
        <is>
          <t>Belum</t>
        </is>
      </c>
      <c r="H15" s="15" t="inlineStr"/>
      <c r="I15" s="15" t="inlineStr"/>
      <c r="J15" s="15" t="inlineStr"/>
      <c r="K15" s="15" t="inlineStr"/>
    </row>
    <row r="16">
      <c r="A16" s="15" t="inlineStr">
        <is>
          <t>L-12</t>
        </is>
      </c>
      <c r="B16" s="16" t="inlineStr">
        <is>
          <t>Field</t>
        </is>
      </c>
      <c r="C16" s="15" t="inlineStr">
        <is>
          <t>Supervisi pemasangan</t>
        </is>
      </c>
      <c r="D16" s="15" t="inlineStr">
        <is>
          <t>Pekerjaan instalasi oleh RU IV</t>
        </is>
      </c>
      <c r="E16" s="15" t="inlineStr">
        <is>
          <t>QA posisi, orientasi &amp; kekencangan GLD/CH/antena; foto setiap titik</t>
        </is>
      </c>
      <c r="F16" s="15" t="inlineStr">
        <is>
          <t>R-01…R-10</t>
        </is>
      </c>
      <c r="G16" s="15" t="inlineStr">
        <is>
          <t>Belum</t>
        </is>
      </c>
      <c r="H16" s="15" t="inlineStr"/>
      <c r="I16" s="15" t="inlineStr"/>
      <c r="J16" s="15" t="inlineStr"/>
      <c r="K16" s="15" t="inlineStr"/>
    </row>
    <row r="17">
      <c r="A17" s="15" t="inlineStr">
        <is>
          <t>L-13</t>
        </is>
      </c>
      <c r="B17" s="16" t="inlineStr">
        <is>
          <t>Field</t>
        </is>
      </c>
      <c r="C17" s="15" t="inlineStr">
        <is>
          <t>Terminasi &amp; energize GLD</t>
        </is>
      </c>
      <c r="D17" s="15" t="inlineStr">
        <is>
          <t>24 VDC dari PSU di junction box</t>
        </is>
      </c>
      <c r="E17" s="15" t="inlineStr">
        <is>
          <t>Polaritas +/− di terminal GLD benar; tegangan terukur; GLD menyala normal</t>
        </is>
      </c>
      <c r="F17" s="15" t="inlineStr">
        <is>
          <t>Kabel &amp; PSU dari RU IV (R-04…R-06)</t>
        </is>
      </c>
      <c r="G17" s="15" t="inlineStr">
        <is>
          <t>Belum</t>
        </is>
      </c>
      <c r="H17" s="15" t="inlineStr"/>
      <c r="I17" s="15" t="inlineStr"/>
      <c r="J17" s="15" t="inlineStr"/>
      <c r="K17" s="15" t="inlineStr"/>
    </row>
    <row r="18">
      <c r="A18" s="15" t="inlineStr">
        <is>
          <t>L-14</t>
        </is>
      </c>
      <c r="B18" s="18" t="inlineStr">
        <is>
          <t>Sistem</t>
        </is>
      </c>
      <c r="C18" s="15" t="inlineStr">
        <is>
          <t>Link LoRa GLD → CH</t>
        </is>
      </c>
      <c r="D18" s="15" t="inlineStr">
        <is>
          <t>Sinyal LoRa (wireless)</t>
        </is>
      </c>
      <c r="E18" s="15" t="inlineStr">
        <is>
          <t>Data GLD diterima CH; RSSI/SNR tercatat</t>
        </is>
      </c>
      <c r="F18" s="15" t="inlineStr">
        <is>
          <t>—</t>
        </is>
      </c>
      <c r="G18" s="15" t="inlineStr">
        <is>
          <t>Belum</t>
        </is>
      </c>
      <c r="H18" s="15" t="inlineStr"/>
      <c r="I18" s="15" t="inlineStr"/>
      <c r="J18" s="15" t="inlineStr"/>
      <c r="K18" s="15" t="inlineStr"/>
    </row>
    <row r="19">
      <c r="A19" s="15" t="inlineStr">
        <is>
          <t>L-15</t>
        </is>
      </c>
      <c r="B19" s="18" t="inlineStr">
        <is>
          <t>Sistem</t>
        </is>
      </c>
      <c r="C19" s="15" t="inlineStr">
        <is>
          <t>Link LoRa CH → Gateway</t>
        </is>
      </c>
      <c r="D19" s="15" t="inlineStr">
        <is>
          <t>Sinyal LoRa (wireless), field → building</t>
        </is>
      </c>
      <c r="E19" s="15" t="inlineStr">
        <is>
          <t>Data CH diterima Gateway; RSSI/SNR tercatat</t>
        </is>
      </c>
      <c r="F19" s="15" t="inlineStr">
        <is>
          <t>—</t>
        </is>
      </c>
      <c r="G19" s="15" t="inlineStr">
        <is>
          <t>Belum</t>
        </is>
      </c>
      <c r="H19" s="15" t="inlineStr"/>
      <c r="I19" s="15" t="inlineStr"/>
      <c r="J19" s="15" t="inlineStr"/>
      <c r="K19" s="15" t="inlineStr"/>
    </row>
    <row r="20">
      <c r="A20" s="15" t="inlineStr">
        <is>
          <t>L-16</t>
        </is>
      </c>
      <c r="B20" s="18" t="inlineStr">
        <is>
          <t>Sistem</t>
        </is>
      </c>
      <c r="C20" s="15" t="inlineStr">
        <is>
          <t>Link WiFi Gateway → Router</t>
        </is>
      </c>
      <c r="D20" s="15" t="inlineStr">
        <is>
          <t>WiFi 2,4 GHz</t>
        </is>
      </c>
      <c r="E20" s="15" t="inlineStr">
        <is>
          <t>Gateway terhubung ke router; IP tercatat; stabil</t>
        </is>
      </c>
      <c r="F20" s="15" t="inlineStr">
        <is>
          <t>—</t>
        </is>
      </c>
      <c r="G20" s="15" t="inlineStr">
        <is>
          <t>Belum</t>
        </is>
      </c>
      <c r="H20" s="15" t="inlineStr"/>
      <c r="I20" s="15" t="inlineStr"/>
      <c r="J20" s="15" t="inlineStr"/>
      <c r="K20" s="15" t="inlineStr"/>
    </row>
    <row r="21">
      <c r="A21" s="15" t="inlineStr">
        <is>
          <t>L-17</t>
        </is>
      </c>
      <c r="B21" s="18" t="inlineStr">
        <is>
          <t>Sistem</t>
        </is>
      </c>
      <c r="C21" s="15" t="inlineStr">
        <is>
          <t>Uji end-to-end &amp; alarm</t>
        </is>
      </c>
      <c r="D21" s="15" t="inlineStr">
        <is>
          <t>GLD → CH → Gateway → Router → Server → Dashboard</t>
        </is>
      </c>
      <c r="E21" s="15" t="inlineStr">
        <is>
          <t>Data normal tampil; uji gas → alarm otomatis; waktu respons dicatat</t>
        </is>
      </c>
      <c r="F21" s="15" t="inlineStr">
        <is>
          <t>Disaksikan RU IV (R-17)</t>
        </is>
      </c>
      <c r="G21" s="15" t="inlineStr">
        <is>
          <t>Belum</t>
        </is>
      </c>
      <c r="H21" s="15" t="inlineStr"/>
      <c r="I21" s="15" t="inlineStr"/>
      <c r="J21" s="15" t="inlineStr"/>
      <c r="K21" s="15" t="inlineStr"/>
    </row>
    <row r="22">
      <c r="A22" s="15" t="inlineStr">
        <is>
          <t>L-18</t>
        </is>
      </c>
      <c r="B22" s="18" t="inlineStr">
        <is>
          <t>Sistem</t>
        </is>
      </c>
      <c r="C22" s="15" t="inlineStr">
        <is>
          <t>Dokumen serah terima</t>
        </is>
      </c>
      <c r="D22" s="15" t="inlineStr">
        <is>
          <t>Commissioning</t>
        </is>
      </c>
      <c r="E22" s="15" t="inlineStr">
        <is>
          <t>Foto as-built, daftar nomor seri, hasil uji, draf berita acara</t>
        </is>
      </c>
      <c r="F22" s="15" t="inlineStr">
        <is>
          <t>Ditandatangani RU IV (R-18)</t>
        </is>
      </c>
      <c r="G22" s="15" t="inlineStr">
        <is>
          <t>Belum</t>
        </is>
      </c>
      <c r="H22" s="15" t="inlineStr"/>
      <c r="I22" s="15" t="inlineStr"/>
      <c r="J22" s="15" t="inlineStr"/>
      <c r="K22" s="15" t="inlineStr"/>
    </row>
    <row r="23">
      <c r="A23" s="15" t="inlineStr">
        <is>
          <t>L-19</t>
        </is>
      </c>
      <c r="B23" s="16" t="inlineStr">
        <is>
          <t>Field</t>
        </is>
      </c>
      <c r="C23" s="15" t="inlineStr">
        <is>
          <t>Mounting CH</t>
        </is>
      </c>
      <c r="D23" s="15" t="inlineStr">
        <is>
          <t>Tidak digambarkan di diagram</t>
        </is>
      </c>
      <c r="E23" s="15" t="inlineStr">
        <is>
          <t>Konfirmasi ke RU IV siapa menyediakan tiang/bracket CH</t>
        </is>
      </c>
      <c r="F23" s="15" t="inlineStr">
        <is>
          <t>R-09</t>
        </is>
      </c>
      <c r="G23" s="15" t="inlineStr">
        <is>
          <t>Belum</t>
        </is>
      </c>
      <c r="H23" s="15" t="inlineStr"/>
      <c r="I23" s="15" t="inlineStr"/>
      <c r="J23" s="15" t="inlineStr"/>
      <c r="K23" s="15" t="inlineStr"/>
    </row>
  </sheetData>
  <autoFilter ref="A4:K23"/>
  <mergeCells count="2">
    <mergeCell ref="A2:K2"/>
    <mergeCell ref="A1:K1"/>
  </mergeCells>
  <conditionalFormatting sqref="G5:G73">
    <cfRule type="cellIs" priority="1" operator="equal" dxfId="0">
      <formula>"Belum"</formula>
    </cfRule>
    <cfRule type="cellIs" priority="2" operator="equal" dxfId="1">
      <formula>"Proses"</formula>
    </cfRule>
    <cfRule type="cellIs" priority="3" operator="equal" dxfId="2">
      <formula>"Selesai"</formula>
    </cfRule>
    <cfRule type="cellIs" priority="4" operator="equal" dxfId="3">
      <formula>"N.A."</formula>
    </cfRule>
  </conditionalFormatting>
  <dataValidations count="1">
    <dataValidation sqref="G5:G73" showDropDown="0" showInputMessage="0" showErrorMessage="0" allowBlank="1" type="list">
      <formula1>"Belum,Proses,Selesai,N.A."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B000"/>
    <outlinePr summaryBelow="1" summaryRight="1"/>
    <pageSetUpPr/>
  </sheetPr>
  <dimension ref="A1:K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32" customWidth="1" min="4" max="4"/>
    <col width="46" customWidth="1" min="5" max="5"/>
    <col width="24" customWidth="1" min="6" max="6"/>
    <col width="11" customWidth="1" min="7" max="7"/>
    <col width="14" customWidth="1" min="8" max="8"/>
    <col width="12" customWidth="1" min="9" max="9"/>
    <col width="22" customWidth="1" min="10" max="10"/>
    <col width="24" customWidth="1" min="11" max="11"/>
  </cols>
  <sheetData>
    <row r="1" ht="24" customHeight="1">
      <c r="A1" s="12" t="inlineStr">
        <is>
          <t>Checklist RU IV Pertamina — Instalasi, Mounting Support &amp; Infrastruktur</t>
        </is>
      </c>
    </row>
    <row r="2" ht="42" customHeight="1">
      <c r="A2" s="13" t="inlineStr">
        <is>
          <t>RU IV (PTMN): stanchion, mounting support, junction box, PSU, kabel 24 VDC, pemasangan perangkat, UPS, server, jaringan IT, izin kerja &amp; HSE. Disusun dari block diagram lingkup final. Status per 28 Oktober 2026: semua item 'Belum' karena instalasi belum dimulai. Pilih status dari dropdown kolom G. Kolom 'Terkait pihak lain' merujuk ID di checklist pihak lain.</t>
        </is>
      </c>
    </row>
    <row r="4">
      <c r="A4" s="14" t="inlineStr">
        <is>
          <t>No</t>
        </is>
      </c>
      <c r="B4" s="14" t="inlineStr">
        <is>
          <t>Area</t>
        </is>
      </c>
      <c r="C4" s="14" t="inlineStr">
        <is>
          <t>Komponen / jalur</t>
        </is>
      </c>
      <c r="D4" s="14" t="inlineStr">
        <is>
          <t>Spesifikasi (dari diagram)</t>
        </is>
      </c>
      <c r="E4" s="14" t="inlineStr">
        <is>
          <t>Item yang dicek</t>
        </is>
      </c>
      <c r="F4" s="14" t="inlineStr">
        <is>
          <t>Terkait pihak lain</t>
        </is>
      </c>
      <c r="G4" s="14" t="inlineStr">
        <is>
          <t>Status</t>
        </is>
      </c>
      <c r="H4" s="14" t="inlineStr">
        <is>
          <t>PIC</t>
        </is>
      </c>
      <c r="I4" s="14" t="inlineStr">
        <is>
          <t>Tanggal cek</t>
        </is>
      </c>
      <c r="J4" s="14" t="inlineStr">
        <is>
          <t>Bukti (foto / dokumen)</t>
        </is>
      </c>
      <c r="K4" s="14" t="inlineStr">
        <is>
          <t>Catatan</t>
        </is>
      </c>
    </row>
    <row r="5">
      <c r="A5" s="15" t="inlineStr">
        <is>
          <t>R-01</t>
        </is>
      </c>
      <c r="B5" s="16" t="inlineStr">
        <is>
          <t>Field</t>
        </is>
      </c>
      <c r="C5" s="15" t="inlineStr">
        <is>
          <t>Stanchion GLD</t>
        </is>
      </c>
      <c r="D5" s="15" t="inlineStr">
        <is>
          <t>Stanchion support 2" HDG (butir 1)</t>
        </is>
      </c>
      <c r="E5" s="15" t="inlineStr">
        <is>
          <t>Stanchion berdiri tegak &amp; kokoh di titik sesuai layout</t>
        </is>
      </c>
      <c r="F5" s="15" t="inlineStr">
        <is>
          <t>—</t>
        </is>
      </c>
      <c r="G5" s="15" t="inlineStr">
        <is>
          <t>Belum</t>
        </is>
      </c>
      <c r="H5" s="15" t="inlineStr"/>
      <c r="I5" s="15" t="inlineStr"/>
      <c r="J5" s="15" t="inlineStr"/>
      <c r="K5" s="15" t="inlineStr"/>
    </row>
    <row r="6">
      <c r="A6" s="15" t="inlineStr">
        <is>
          <t>R-02</t>
        </is>
      </c>
      <c r="B6" s="16" t="inlineStr">
        <is>
          <t>Field</t>
        </is>
      </c>
      <c r="C6" s="15" t="inlineStr">
        <is>
          <t>Mounting support &amp; pemasangan GLD</t>
        </is>
      </c>
      <c r="D6" s="15" t="inlineStr">
        <is>
          <t>Mounting support by PTMN</t>
        </is>
      </c>
      <c r="E6" s="15" t="inlineStr">
        <is>
          <t>GLD terpasang dengan plat U-bolt; tinggi sensor sesuai rencana</t>
        </is>
      </c>
      <c r="F6" s="15" t="inlineStr">
        <is>
          <t>QA oleh LGU (L-12)</t>
        </is>
      </c>
      <c r="G6" s="15" t="inlineStr">
        <is>
          <t>Belum</t>
        </is>
      </c>
      <c r="H6" s="15" t="inlineStr"/>
      <c r="I6" s="15" t="inlineStr"/>
      <c r="J6" s="15" t="inlineStr"/>
      <c r="K6" s="15" t="inlineStr"/>
    </row>
    <row r="7">
      <c r="A7" s="15" t="inlineStr">
        <is>
          <t>R-03</t>
        </is>
      </c>
      <c r="B7" s="16" t="inlineStr">
        <is>
          <t>Field</t>
        </is>
      </c>
      <c r="C7" s="15" t="inlineStr">
        <is>
          <t>Junction box</t>
        </is>
      </c>
      <c r="D7" s="15" t="inlineStr">
        <is>
          <t>Junction box SS316 (butir 2)</t>
        </is>
      </c>
      <c r="E7" s="15" t="inlineStr">
        <is>
          <t>JB terpasang; entry kabel rapat; grounding JB tersambung</t>
        </is>
      </c>
      <c r="F7" s="15" t="inlineStr">
        <is>
          <t>—</t>
        </is>
      </c>
      <c r="G7" s="15" t="inlineStr">
        <is>
          <t>Belum</t>
        </is>
      </c>
      <c r="H7" s="15" t="inlineStr"/>
      <c r="I7" s="15" t="inlineStr"/>
      <c r="J7" s="15" t="inlineStr"/>
      <c r="K7" s="15" t="inlineStr"/>
    </row>
    <row r="8">
      <c r="A8" s="15" t="inlineStr">
        <is>
          <t>R-04</t>
        </is>
      </c>
      <c r="B8" s="16" t="inlineStr">
        <is>
          <t>Field</t>
        </is>
      </c>
      <c r="C8" s="15" t="inlineStr">
        <is>
          <t>PSU</t>
        </is>
      </c>
      <c r="D8" s="15" t="inlineStr">
        <is>
          <t>PSU 220VAC in, 24VDC out (butir 3), di dalam JB</t>
        </is>
      </c>
      <c r="E8" s="15" t="inlineStr">
        <is>
          <t>Merek/model tercatat; rating ≥ 1 A per GLD; keluaran 24 VDC terukur</t>
        </is>
      </c>
      <c r="F8" s="15" t="inlineStr">
        <is>
          <t>Energize oleh LGU (L-13)</t>
        </is>
      </c>
      <c r="G8" s="15" t="inlineStr">
        <is>
          <t>Belum</t>
        </is>
      </c>
      <c r="H8" s="15" t="inlineStr"/>
      <c r="I8" s="15" t="inlineStr"/>
      <c r="J8" s="15" t="inlineStr"/>
      <c r="K8" s="15" t="inlineStr"/>
    </row>
    <row r="9">
      <c r="A9" s="15" t="inlineStr">
        <is>
          <t>R-05</t>
        </is>
      </c>
      <c r="B9" s="16" t="inlineStr">
        <is>
          <t>Field</t>
        </is>
      </c>
      <c r="C9" s="15" t="inlineStr">
        <is>
          <t>Local receptacle</t>
        </is>
      </c>
      <c r="D9" s="15" t="inlineStr">
        <is>
          <t>220 VAC ke PSU</t>
        </is>
      </c>
      <c r="E9" s="15" t="inlineStr">
        <is>
          <t>Sumber 220 VAC tersedia; dilindungi MCB; L/N/PE benar</t>
        </is>
      </c>
      <c r="F9" s="15" t="inlineStr">
        <is>
          <t>—</t>
        </is>
      </c>
      <c r="G9" s="15" t="inlineStr">
        <is>
          <t>Belum</t>
        </is>
      </c>
      <c r="H9" s="15" t="inlineStr"/>
      <c r="I9" s="15" t="inlineStr"/>
      <c r="J9" s="15" t="inlineStr"/>
      <c r="K9" s="15" t="inlineStr"/>
    </row>
    <row r="10">
      <c r="A10" s="15" t="inlineStr">
        <is>
          <t>R-06</t>
        </is>
      </c>
      <c r="B10" s="16" t="inlineStr">
        <is>
          <t>Field</t>
        </is>
      </c>
      <c r="C10" s="15" t="inlineStr">
        <is>
          <t>Kabel daya 24 VDC</t>
        </is>
      </c>
      <c r="D10" s="15" t="inlineStr">
        <is>
          <t>Power cable 24VDC, 2C, 16AWG (butir 4)</t>
        </is>
      </c>
      <c r="E10" s="15" t="inlineStr">
        <is>
          <t>Kabel tergelar &amp; terlindung; terminasi di JB; panjang tercatat</t>
        </is>
      </c>
      <c r="F10" s="15" t="inlineStr">
        <is>
          <t>—</t>
        </is>
      </c>
      <c r="G10" s="15" t="inlineStr">
        <is>
          <t>Belum</t>
        </is>
      </c>
      <c r="H10" s="15" t="inlineStr"/>
      <c r="I10" s="15" t="inlineStr"/>
      <c r="J10" s="15" t="inlineStr"/>
      <c r="K10" s="15" t="inlineStr"/>
    </row>
    <row r="11">
      <c r="A11" s="15" t="inlineStr">
        <is>
          <t>R-07</t>
        </is>
      </c>
      <c r="B11" s="16" t="inlineStr">
        <is>
          <t>Field</t>
        </is>
      </c>
      <c r="C11" s="15" t="inlineStr">
        <is>
          <t>Kabel masuk GLD</t>
        </is>
      </c>
      <c r="D11" s="15" t="inlineStr">
        <is>
          <t>Melalui gland M20×1,5</t>
        </is>
      </c>
      <c r="E11" s="15" t="inlineStr">
        <is>
          <t>Kabel dimasukkan lewat gland &amp; dikencangkan; tidak ada entry terbuka</t>
        </is>
      </c>
      <c r="F11" s="15" t="inlineStr">
        <is>
          <t>Gland dari LGU (L-02)</t>
        </is>
      </c>
      <c r="G11" s="15" t="inlineStr">
        <is>
          <t>Belum</t>
        </is>
      </c>
      <c r="H11" s="15" t="inlineStr"/>
      <c r="I11" s="15" t="inlineStr"/>
      <c r="J11" s="15" t="inlineStr"/>
      <c r="K11" s="15" t="inlineStr"/>
    </row>
    <row r="12">
      <c r="A12" s="15" t="inlineStr">
        <is>
          <t>R-08</t>
        </is>
      </c>
      <c r="B12" s="16" t="inlineStr">
        <is>
          <t>Field</t>
        </is>
      </c>
      <c r="C12" s="15" t="inlineStr">
        <is>
          <t>Pemasangan CH &amp; solar cell</t>
        </is>
      </c>
      <c r="D12" s="15" t="inlineStr">
        <is>
          <t>CH + solar cell (disuplai LGU)</t>
        </is>
      </c>
      <c r="E12" s="15" t="inlineStr">
        <is>
          <t>CH &amp; panel terpasang; panel menghadap utara; line-of-sight ke GLD &amp; Gateway</t>
        </is>
      </c>
      <c r="F12" s="15" t="inlineStr">
        <is>
          <t>QA oleh LGU (L-12)</t>
        </is>
      </c>
      <c r="G12" s="15" t="inlineStr">
        <is>
          <t>Belum</t>
        </is>
      </c>
      <c r="H12" s="15" t="inlineStr"/>
      <c r="I12" s="15" t="inlineStr"/>
      <c r="J12" s="15" t="inlineStr"/>
      <c r="K12" s="15" t="inlineStr"/>
    </row>
    <row r="13">
      <c r="A13" s="15" t="inlineStr">
        <is>
          <t>R-09</t>
        </is>
      </c>
      <c r="B13" s="16" t="inlineStr">
        <is>
          <t>Field</t>
        </is>
      </c>
      <c r="C13" s="15" t="inlineStr">
        <is>
          <t>Mounting CH</t>
        </is>
      </c>
      <c r="D13" s="15" t="inlineStr">
        <is>
          <t>Tidak digambarkan di diagram</t>
        </is>
      </c>
      <c r="E13" s="15" t="inlineStr">
        <is>
          <t>Konfirmasi penyedia tiang/bracket CH</t>
        </is>
      </c>
      <c r="F13" s="15" t="inlineStr">
        <is>
          <t>L-19</t>
        </is>
      </c>
      <c r="G13" s="15" t="inlineStr">
        <is>
          <t>Belum</t>
        </is>
      </c>
      <c r="H13" s="15" t="inlineStr"/>
      <c r="I13" s="15" t="inlineStr"/>
      <c r="J13" s="15" t="inlineStr"/>
      <c r="K13" s="15" t="inlineStr"/>
    </row>
    <row r="14">
      <c r="A14" s="15" t="inlineStr">
        <is>
          <t>R-10</t>
        </is>
      </c>
      <c r="B14" s="17" t="inlineStr">
        <is>
          <t>Building</t>
        </is>
      </c>
      <c r="C14" s="15" t="inlineStr">
        <is>
          <t>Mounting support Gateway</t>
        </is>
      </c>
      <c r="D14" s="15" t="inlineStr">
        <is>
          <t>Mounting support by PTMN</t>
        </is>
      </c>
      <c r="E14" s="15" t="inlineStr">
        <is>
          <t>Lokasi Gateway disetujui; dudukan terpasang; antena dapat menjangkau CH</t>
        </is>
      </c>
      <c r="F14" s="15" t="inlineStr">
        <is>
          <t>Gateway dari LGU (L-06)</t>
        </is>
      </c>
      <c r="G14" s="15" t="inlineStr">
        <is>
          <t>Belum</t>
        </is>
      </c>
      <c r="H14" s="15" t="inlineStr"/>
      <c r="I14" s="15" t="inlineStr"/>
      <c r="J14" s="15" t="inlineStr"/>
      <c r="K14" s="15" t="inlineStr"/>
    </row>
    <row r="15">
      <c r="A15" s="15" t="inlineStr">
        <is>
          <t>R-11</t>
        </is>
      </c>
      <c r="B15" s="17" t="inlineStr">
        <is>
          <t>Building</t>
        </is>
      </c>
      <c r="C15" s="15" t="inlineStr">
        <is>
          <t>UPS</t>
        </is>
      </c>
      <c r="D15" s="15" t="inlineStr">
        <is>
          <t>UPS mencatu Gateway, Router &amp; Server</t>
        </is>
      </c>
      <c r="E15" s="15" t="inlineStr">
        <is>
          <t>Kapasitas cukup untuk 3 beban; waktu cadangan tercatat</t>
        </is>
      </c>
      <c r="F15" s="15" t="inlineStr">
        <is>
          <t>—</t>
        </is>
      </c>
      <c r="G15" s="15" t="inlineStr">
        <is>
          <t>Belum</t>
        </is>
      </c>
      <c r="H15" s="15" t="inlineStr"/>
      <c r="I15" s="15" t="inlineStr"/>
      <c r="J15" s="15" t="inlineStr"/>
      <c r="K15" s="15" t="inlineStr"/>
    </row>
    <row r="16">
      <c r="A16" s="15" t="inlineStr">
        <is>
          <t>R-12</t>
        </is>
      </c>
      <c r="B16" s="17" t="inlineStr">
        <is>
          <t>Building</t>
        </is>
      </c>
      <c r="C16" s="15" t="inlineStr">
        <is>
          <t>Outlet UPS</t>
        </is>
      </c>
      <c r="D16" s="15" t="inlineStr">
        <is>
          <t>Untuk adaptor Gateway &amp; Router + Server 220 VAC</t>
        </is>
      </c>
      <c r="E16" s="15" t="inlineStr">
        <is>
          <t>Minimal 3 outlet UPS tersedia di dekat Gateway, router &amp; server</t>
        </is>
      </c>
      <c r="F16" s="15" t="inlineStr">
        <is>
          <t>Adaptor dari LGU (L-07, L-09)</t>
        </is>
      </c>
      <c r="G16" s="15" t="inlineStr">
        <is>
          <t>Belum</t>
        </is>
      </c>
      <c r="H16" s="15" t="inlineStr"/>
      <c r="I16" s="15" t="inlineStr"/>
      <c r="J16" s="15" t="inlineStr"/>
      <c r="K16" s="15" t="inlineStr"/>
    </row>
    <row r="17">
      <c r="A17" s="15" t="inlineStr">
        <is>
          <t>R-13</t>
        </is>
      </c>
      <c r="B17" s="17" t="inlineStr">
        <is>
          <t>Building</t>
        </is>
      </c>
      <c r="C17" s="15" t="inlineStr">
        <is>
          <t>Server</t>
        </is>
      </c>
      <c r="D17" s="15" t="inlineStr">
        <is>
          <t>Server (catu 220 VAC dari UPS)</t>
        </is>
      </c>
      <c r="E17" s="15" t="inlineStr">
        <is>
          <t>PC server tersedia (usulan: 4 core, 8 GB, SSD 256 GB, 2 port LAN)</t>
        </is>
      </c>
      <c r="F17" s="15" t="inlineStr">
        <is>
          <t>Aplikasi dipasang LGU (L-11)</t>
        </is>
      </c>
      <c r="G17" s="15" t="inlineStr">
        <is>
          <t>Belum</t>
        </is>
      </c>
      <c r="H17" s="15" t="inlineStr"/>
      <c r="I17" s="15" t="inlineStr"/>
      <c r="J17" s="15" t="inlineStr"/>
      <c r="K17" s="15" t="inlineStr"/>
    </row>
    <row r="18">
      <c r="A18" s="15" t="inlineStr">
        <is>
          <t>R-14</t>
        </is>
      </c>
      <c r="B18" s="17" t="inlineStr">
        <is>
          <t>Building</t>
        </is>
      </c>
      <c r="C18" s="15" t="inlineStr">
        <is>
          <t>Ruang server</t>
        </is>
      </c>
      <c r="D18" s="15" t="inlineStr">
        <is>
          <t>Building</t>
        </is>
      </c>
      <c r="E18" s="15" t="inlineStr">
        <is>
          <t>Ruang/meja untuk server, router &amp; Gateway; akses bagi tim LGU</t>
        </is>
      </c>
      <c r="F18" s="15" t="inlineStr">
        <is>
          <t>—</t>
        </is>
      </c>
      <c r="G18" s="15" t="inlineStr">
        <is>
          <t>Belum</t>
        </is>
      </c>
      <c r="H18" s="15" t="inlineStr"/>
      <c r="I18" s="15" t="inlineStr"/>
      <c r="J18" s="15" t="inlineStr"/>
      <c r="K18" s="15" t="inlineStr"/>
    </row>
    <row r="19">
      <c r="A19" s="15" t="inlineStr">
        <is>
          <t>R-15</t>
        </is>
      </c>
      <c r="B19" s="17" t="inlineStr">
        <is>
          <t>Building</t>
        </is>
      </c>
      <c r="C19" s="15" t="inlineStr">
        <is>
          <t>Server → IT Network</t>
        </is>
      </c>
      <c r="D19" s="15" t="inlineStr">
        <is>
          <t>IT Network (intranet kilang)</t>
        </is>
      </c>
      <c r="E19" s="15" t="inlineStr">
        <is>
          <t>Port LAN ke intranet tersedia; persetujuan tim IT; dashboard dapat diakses dari kantor</t>
        </is>
      </c>
      <c r="F19" s="15" t="inlineStr">
        <is>
          <t>—</t>
        </is>
      </c>
      <c r="G19" s="15" t="inlineStr">
        <is>
          <t>Belum</t>
        </is>
      </c>
      <c r="H19" s="15" t="inlineStr"/>
      <c r="I19" s="15" t="inlineStr"/>
      <c r="J19" s="15" t="inlineStr"/>
      <c r="K19" s="15" t="inlineStr"/>
    </row>
    <row r="20">
      <c r="A20" s="15" t="inlineStr">
        <is>
          <t>R-16</t>
        </is>
      </c>
      <c r="B20" s="18" t="inlineStr">
        <is>
          <t>Umum</t>
        </is>
      </c>
      <c r="C20" s="15" t="inlineStr">
        <is>
          <t>Izin kerja &amp; HSE</t>
        </is>
      </c>
      <c r="D20" s="15" t="inlineStr">
        <is>
          <t>Seluruh pekerjaan instalasi</t>
        </is>
      </c>
      <c r="E20" s="15" t="inlineStr">
        <is>
          <t>Izin kerja, TRA/JSA, dan klasifikasi area titik pemasangan disetujui</t>
        </is>
      </c>
      <c r="F20" s="15" t="inlineStr">
        <is>
          <t>—</t>
        </is>
      </c>
      <c r="G20" s="15" t="inlineStr">
        <is>
          <t>Belum</t>
        </is>
      </c>
      <c r="H20" s="15" t="inlineStr"/>
      <c r="I20" s="15" t="inlineStr"/>
      <c r="J20" s="15" t="inlineStr"/>
      <c r="K20" s="15" t="inlineStr"/>
    </row>
    <row r="21">
      <c r="A21" s="15" t="inlineStr">
        <is>
          <t>R-17</t>
        </is>
      </c>
      <c r="B21" s="18" t="inlineStr">
        <is>
          <t>Sistem</t>
        </is>
      </c>
      <c r="C21" s="15" t="inlineStr">
        <is>
          <t>Saksi uji end-to-end</t>
        </is>
      </c>
      <c r="D21" s="15" t="inlineStr">
        <is>
          <t>Commissioning</t>
        </is>
      </c>
      <c r="E21" s="15" t="inlineStr">
        <is>
          <t>Perwakilan RU IV hadir saat uji alarm</t>
        </is>
      </c>
      <c r="F21" s="15" t="inlineStr">
        <is>
          <t>Uji oleh LGU (L-17)</t>
        </is>
      </c>
      <c r="G21" s="15" t="inlineStr">
        <is>
          <t>Belum</t>
        </is>
      </c>
      <c r="H21" s="15" t="inlineStr"/>
      <c r="I21" s="15" t="inlineStr"/>
      <c r="J21" s="15" t="inlineStr"/>
      <c r="K21" s="15" t="inlineStr"/>
    </row>
    <row r="22">
      <c r="A22" s="15" t="inlineStr">
        <is>
          <t>R-18</t>
        </is>
      </c>
      <c r="B22" s="18" t="inlineStr">
        <is>
          <t>Sistem</t>
        </is>
      </c>
      <c r="C22" s="15" t="inlineStr">
        <is>
          <t>Berita acara</t>
        </is>
      </c>
      <c r="D22" s="15" t="inlineStr">
        <is>
          <t>Serah terima</t>
        </is>
      </c>
      <c r="E22" s="15" t="inlineStr">
        <is>
          <t>Berita acara instalasi &amp; commissioning ditandatangani</t>
        </is>
      </c>
      <c r="F22" s="15" t="inlineStr">
        <is>
          <t>Draf dari LGU (L-18)</t>
        </is>
      </c>
      <c r="G22" s="15" t="inlineStr">
        <is>
          <t>Belum</t>
        </is>
      </c>
      <c r="H22" s="15" t="inlineStr"/>
      <c r="I22" s="15" t="inlineStr"/>
      <c r="J22" s="15" t="inlineStr"/>
      <c r="K22" s="15" t="inlineStr"/>
    </row>
  </sheetData>
  <autoFilter ref="A4:K22"/>
  <mergeCells count="2">
    <mergeCell ref="A2:K2"/>
    <mergeCell ref="A1:K1"/>
  </mergeCells>
  <conditionalFormatting sqref="G5:G72">
    <cfRule type="cellIs" priority="1" operator="equal" dxfId="0">
      <formula>"Belum"</formula>
    </cfRule>
    <cfRule type="cellIs" priority="2" operator="equal" dxfId="1">
      <formula>"Proses"</formula>
    </cfRule>
    <cfRule type="cellIs" priority="3" operator="equal" dxfId="2">
      <formula>"Selesai"</formula>
    </cfRule>
    <cfRule type="cellIs" priority="4" operator="equal" dxfId="3">
      <formula>"N.A."</formula>
    </cfRule>
  </conditionalFormatting>
  <dataValidations count="1">
    <dataValidation sqref="G5:G72" showDropDown="0" showInputMessage="0" showErrorMessage="0" allowBlank="1" type="list">
      <formula1>"Belum,Proses,Selesai,N.A."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Block diagram lingkup (versi final, sumber checklist)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2026-10-28T00:15:01Z</dcterms:created>
  <dcterms:modified xmlns:dcterms="http://purl.org/dc/terms/" xmlns:xsi="http://www.w3.org/2001/XMLSchema-instance" xsi:type="dcterms:W3CDTF">2026-10-28T00:15:01Z</dcterms:modified>
</cp:coreProperties>
</file>