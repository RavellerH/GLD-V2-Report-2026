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Ringkasan" sheetId="2" state="visible" r:id="rId2"/>
    <sheet xmlns:r="http://schemas.openxmlformats.org/officeDocument/2006/relationships" name="Diagram" sheetId="3" state="visible" r:id="rId3"/>
  </sheets>
  <definedNames>
    <definedName name="_xlnm._FilterDatabase" localSheetId="0" hidden="1">'Checklist'!$A$4:$L$30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B66"/>
      <sz val="9.5"/>
    </font>
    <font>
      <b val="1"/>
      <color rgb="00FFFFFF"/>
      <sz val="10"/>
    </font>
    <font>
      <sz val="9.5"/>
    </font>
    <font>
      <b val="1"/>
      <color rgb="001B2A4A"/>
      <sz val="14"/>
    </font>
    <font>
      <b val="1"/>
      <color rgb="001B2A4A"/>
      <sz val="11"/>
    </font>
    <font>
      <b val="1"/>
      <color rgb="00FFFFFF"/>
    </font>
    <font>
      <b val="1"/>
      <color rgb="00B3261E"/>
    </font>
    <font>
      <b val="1"/>
      <color rgb="009A6200"/>
    </font>
    <font>
      <b val="1"/>
      <color rgb="001E7B3A"/>
    </font>
    <font>
      <b val="1"/>
      <color rgb="00666666"/>
    </font>
    <font>
      <b val="1"/>
    </font>
    <font>
      <b val="1"/>
      <color rgb="001B2A4A"/>
      <sz val="12"/>
    </font>
  </fonts>
  <fills count="13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B5FCB"/>
      </patternFill>
    </fill>
    <fill>
      <patternFill patternType="solid">
        <fgColor rgb="00EAF2FD"/>
      </patternFill>
    </fill>
    <fill>
      <patternFill patternType="solid">
        <fgColor rgb="00D6E9FB"/>
      </patternFill>
    </fill>
    <fill>
      <patternFill patternType="solid">
        <fgColor rgb="00FCEFC4"/>
      </patternFill>
    </fill>
    <fill>
      <patternFill patternType="solid">
        <fgColor rgb="00FFF8E1"/>
      </patternFill>
    </fill>
    <fill>
      <patternFill patternType="solid">
        <fgColor rgb="00F2F2F2"/>
      </patternFill>
    </fill>
    <fill>
      <patternFill patternType="solid">
        <fgColor rgb="00FBE6E4"/>
      </patternFill>
    </fill>
    <fill>
      <patternFill patternType="solid">
        <fgColor rgb="00FFF3DC"/>
      </patternFill>
    </fill>
    <fill>
      <patternFill patternType="solid">
        <fgColor rgb="00EAF4EC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8" fillId="9" borderId="1" pivotButton="0" quotePrefix="0" xfId="0"/>
    <xf numFmtId="0" fontId="0" fillId="0" borderId="1" pivotButton="0" quotePrefix="0" xfId="0"/>
    <xf numFmtId="9" fontId="0" fillId="0" borderId="1" pivotButton="0" quotePrefix="0" xfId="0"/>
    <xf numFmtId="0" fontId="9" fillId="10" borderId="1" pivotButton="0" quotePrefix="0" xfId="0"/>
    <xf numFmtId="0" fontId="10" fillId="11" borderId="1" pivotButton="0" quotePrefix="0" xfId="0"/>
    <xf numFmtId="0" fontId="11" fillId="12" borderId="1" pivotButton="0" quotePrefix="0" xfId="0"/>
    <xf numFmtId="0" fontId="12" fillId="0" borderId="0" pivotButton="0" quotePrefix="0" xfId="0"/>
    <xf numFmtId="0" fontId="7" fillId="3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pivotButton="0" quotePrefix="0" xfId="0"/>
  </cellXfs>
  <cellStyles count="1">
    <cellStyle name="Normal" xfId="0" builtinId="0" hidden="0"/>
  </cellStyles>
  <dxfs count="4">
    <dxf>
      <font>
        <b val="1"/>
        <color rgb="00B3261E"/>
      </font>
      <fill>
        <patternFill patternType="solid">
          <fgColor rgb="00FBE6E4"/>
        </patternFill>
      </fill>
    </dxf>
    <dxf>
      <font>
        <b val="1"/>
        <color rgb="009A6200"/>
      </font>
      <fill>
        <patternFill patternType="solid">
          <fgColor rgb="00FFF3DC"/>
        </patternFill>
      </fill>
    </dxf>
    <dxf>
      <font>
        <b val="1"/>
        <color rgb="001E7B3A"/>
      </font>
      <fill>
        <patternFill patternType="solid">
          <fgColor rgb="00EAF4EC"/>
        </patternFill>
      </fill>
    </dxf>
    <dxf>
      <font>
        <b val="1"/>
        <color rgb="00666666"/>
      </font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477500" cy="5362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6" customWidth="1" min="3" max="3"/>
    <col width="34" customWidth="1" min="4" max="4"/>
    <col width="14" customWidth="1" min="5" max="5"/>
    <col width="18" customWidth="1" min="6" max="6"/>
    <col width="44" customWidth="1" min="7" max="7"/>
    <col width="11" customWidth="1" min="8" max="8"/>
    <col width="14" customWidth="1" min="9" max="9"/>
    <col width="12" customWidth="1" min="10" max="10"/>
    <col width="22" customWidth="1" min="11" max="11"/>
    <col width="24" customWidth="1" min="12" max="12"/>
  </cols>
  <sheetData>
    <row r="1" ht="24" customHeight="1">
      <c r="A1" s="1" t="inlineStr">
        <is>
          <t>Checklist Instalasi Sistem GLD — Block Diagram Lingkup RU IV Cilacap</t>
        </is>
      </c>
    </row>
    <row r="2" ht="42" customHeight="1">
      <c r="A2" s="2" t="inlineStr">
        <is>
          <t>Disusun dari block diagram lingkup final (Field/Building; LGU = Supplier/Penyedia, PTMN = Instalasi, Mounting Support &amp; Infrastruktur). Status per 28 Oktober 2026: semua item 'Belum' karena instalasi belum dimulai. Pilih status dari dropdown kolom H.</t>
        </is>
      </c>
    </row>
    <row r="4">
      <c r="A4" s="3" t="inlineStr">
        <is>
          <t>No</t>
        </is>
      </c>
      <c r="B4" s="3" t="inlineStr">
        <is>
          <t>Area</t>
        </is>
      </c>
      <c r="C4" s="3" t="inlineStr">
        <is>
          <t>Komponen / jalur</t>
        </is>
      </c>
      <c r="D4" s="3" t="inlineStr">
        <is>
          <t>Spesifikasi (dari diagram)</t>
        </is>
      </c>
      <c r="E4" s="3" t="inlineStr">
        <is>
          <t>Disuplai oleh</t>
        </is>
      </c>
      <c r="F4" s="3" t="inlineStr">
        <is>
          <t>Instalasi / infrastruktur oleh</t>
        </is>
      </c>
      <c r="G4" s="3" t="inlineStr">
        <is>
          <t>Item yang dicek</t>
        </is>
      </c>
      <c r="H4" s="3" t="inlineStr">
        <is>
          <t>Status</t>
        </is>
      </c>
      <c r="I4" s="3" t="inlineStr">
        <is>
          <t>PIC</t>
        </is>
      </c>
      <c r="J4" s="3" t="inlineStr">
        <is>
          <t>Tanggal cek</t>
        </is>
      </c>
      <c r="K4" s="3" t="inlineStr">
        <is>
          <t>Bukti (foto / dokumen)</t>
        </is>
      </c>
      <c r="L4" s="3" t="inlineStr">
        <is>
          <t>Catatan</t>
        </is>
      </c>
    </row>
    <row r="5">
      <c r="A5" s="4" t="n">
        <v>1</v>
      </c>
      <c r="B5" s="5" t="inlineStr">
        <is>
          <t>Field</t>
        </is>
      </c>
      <c r="C5" s="4" t="inlineStr">
        <is>
          <t>GL Detector (node sensor GLD)</t>
        </is>
      </c>
      <c r="D5" s="4" t="inlineStr">
        <is>
          <t>Node GLD V2, catu 24 VDC, LoRa wireless ke CH</t>
        </is>
      </c>
      <c r="E5" s="6" t="inlineStr">
        <is>
          <t>LGU</t>
        </is>
      </c>
      <c r="F5" s="4" t="inlineStr">
        <is>
          <t>PTMN (Pertamina RU IV)</t>
        </is>
      </c>
      <c r="G5" s="4" t="inlineStr">
        <is>
          <t>Unit tersedia, nomor seri tercatat, uji fungsi sebelum kirim (sensor, alarm, LoRa)</t>
        </is>
      </c>
      <c r="H5" s="4" t="inlineStr">
        <is>
          <t>Belum</t>
        </is>
      </c>
      <c r="I5" s="4" t="inlineStr"/>
      <c r="J5" s="4" t="inlineStr"/>
      <c r="K5" s="4" t="inlineStr"/>
      <c r="L5" s="4" t="inlineStr"/>
    </row>
    <row r="6">
      <c r="A6" s="4" t="n">
        <v>2</v>
      </c>
      <c r="B6" s="5" t="inlineStr">
        <is>
          <t>Field</t>
        </is>
      </c>
      <c r="C6" s="4" t="inlineStr">
        <is>
          <t>GL Detector — cable entry</t>
        </is>
      </c>
      <c r="D6" s="4" t="inlineStr">
        <is>
          <t>Gland M20×1,5 pada sensor GL Detector (butir 5)</t>
        </is>
      </c>
      <c r="E6" s="6" t="inlineStr">
        <is>
          <t>LGU</t>
        </is>
      </c>
      <c r="F6" s="4" t="inlineStr">
        <is>
          <t>PTMN (Pertamina RU IV)</t>
        </is>
      </c>
      <c r="G6" s="4" t="inlineStr">
        <is>
          <t>Gland terpasang sesuai ukuran kabel 2C 16AWG; ulir &amp; seal rapat; blanking plug pada entry tak terpakai</t>
        </is>
      </c>
      <c r="H6" s="4" t="inlineStr">
        <is>
          <t>Belum</t>
        </is>
      </c>
      <c r="I6" s="4" t="inlineStr"/>
      <c r="J6" s="4" t="inlineStr"/>
      <c r="K6" s="4" t="inlineStr"/>
      <c r="L6" s="4" t="inlineStr"/>
    </row>
    <row r="7">
      <c r="A7" s="4" t="n">
        <v>3</v>
      </c>
      <c r="B7" s="5" t="inlineStr">
        <is>
          <t>Field</t>
        </is>
      </c>
      <c r="C7" s="4" t="inlineStr">
        <is>
          <t>GL Detector — antena LoRa</t>
        </is>
      </c>
      <c r="D7" s="4" t="inlineStr">
        <is>
          <t>LoRa (wireless) ke CH</t>
        </is>
      </c>
      <c r="E7" s="6" t="inlineStr">
        <is>
          <t>LGU</t>
        </is>
      </c>
      <c r="F7" s="4" t="inlineStr">
        <is>
          <t>PTMN (Pertamina RU IV)</t>
        </is>
      </c>
      <c r="G7" s="4" t="inlineStr">
        <is>
          <t>Antena terpasang kencang, orientasi vertikal, tidak terhalang struktur logam</t>
        </is>
      </c>
      <c r="H7" s="4" t="inlineStr">
        <is>
          <t>Belum</t>
        </is>
      </c>
      <c r="I7" s="4" t="inlineStr"/>
      <c r="J7" s="4" t="inlineStr"/>
      <c r="K7" s="4" t="inlineStr"/>
      <c r="L7" s="4" t="inlineStr"/>
    </row>
    <row r="8">
      <c r="A8" s="4" t="n">
        <v>4</v>
      </c>
      <c r="B8" s="5" t="inlineStr">
        <is>
          <t>Field</t>
        </is>
      </c>
      <c r="C8" s="4" t="inlineStr">
        <is>
          <t>Mounting support GLD</t>
        </is>
      </c>
      <c r="D8" s="4" t="inlineStr">
        <is>
          <t>Mounting support by PTMN; stanchion support 2" HDG (butir 1)</t>
        </is>
      </c>
      <c r="E8" s="7" t="inlineStr">
        <is>
          <t>PTMN (Pertamina RU IV)</t>
        </is>
      </c>
      <c r="F8" s="4" t="inlineStr">
        <is>
          <t>PTMN (Pertamina RU IV)</t>
        </is>
      </c>
      <c r="G8" s="4" t="inlineStr">
        <is>
          <t>Stanchion 2" HDG berdiri tegak &amp; kokoh; plat U-bolt GLD terpasang; tinggi sensor sesuai rencana</t>
        </is>
      </c>
      <c r="H8" s="4" t="inlineStr">
        <is>
          <t>Belum</t>
        </is>
      </c>
      <c r="I8" s="4" t="inlineStr"/>
      <c r="J8" s="4" t="inlineStr"/>
      <c r="K8" s="4" t="inlineStr"/>
      <c r="L8" s="4" t="inlineStr"/>
    </row>
    <row r="9">
      <c r="A9" s="4" t="n">
        <v>5</v>
      </c>
      <c r="B9" s="5" t="inlineStr">
        <is>
          <t>Field</t>
        </is>
      </c>
      <c r="C9" s="4" t="inlineStr">
        <is>
          <t>Junction box</t>
        </is>
      </c>
      <c r="D9" s="4" t="inlineStr">
        <is>
          <t>Junction box SS316 (butir 2), berisi PSU</t>
        </is>
      </c>
      <c r="E9" s="7" t="inlineStr">
        <is>
          <t>PTMN (Pertamina RU IV)</t>
        </is>
      </c>
      <c r="F9" s="4" t="inlineStr">
        <is>
          <t>PTMN (Pertamina RU IV)</t>
        </is>
      </c>
      <c r="G9" s="4" t="inlineStr">
        <is>
          <t>JB SS316 terpasang, gland/entry kabel rapat, grounding JB tersambung</t>
        </is>
      </c>
      <c r="H9" s="4" t="inlineStr">
        <is>
          <t>Belum</t>
        </is>
      </c>
      <c r="I9" s="4" t="inlineStr"/>
      <c r="J9" s="4" t="inlineStr"/>
      <c r="K9" s="4" t="inlineStr"/>
      <c r="L9" s="4" t="inlineStr"/>
    </row>
    <row r="10">
      <c r="A10" s="4" t="n">
        <v>6</v>
      </c>
      <c r="B10" s="5" t="inlineStr">
        <is>
          <t>Field</t>
        </is>
      </c>
      <c r="C10" s="4" t="inlineStr">
        <is>
          <t>PSU</t>
        </is>
      </c>
      <c r="D10" s="4" t="inlineStr">
        <is>
          <t>PSU 220VAC in, 24VDC out (butir 3), di dalam junction box</t>
        </is>
      </c>
      <c r="E10" s="7" t="inlineStr">
        <is>
          <t>PTMN (Pertamina RU IV)</t>
        </is>
      </c>
      <c r="F10" s="4" t="inlineStr">
        <is>
          <t>PTMN (Pertamina RU IV)</t>
        </is>
      </c>
      <c r="G10" s="4" t="inlineStr">
        <is>
          <t>Merek/model &amp; rating arus PSU tercatat (≥ 1 A per GLD); output terukur 24 VDC ± toleransi</t>
        </is>
      </c>
      <c r="H10" s="4" t="inlineStr">
        <is>
          <t>Belum</t>
        </is>
      </c>
      <c r="I10" s="4" t="inlineStr"/>
      <c r="J10" s="4" t="inlineStr"/>
      <c r="K10" s="4" t="inlineStr"/>
      <c r="L10" s="4" t="inlineStr"/>
    </row>
    <row r="11">
      <c r="A11" s="4" t="n">
        <v>7</v>
      </c>
      <c r="B11" s="5" t="inlineStr">
        <is>
          <t>Field</t>
        </is>
      </c>
      <c r="C11" s="4" t="inlineStr">
        <is>
          <t>Local receptacle → PSU</t>
        </is>
      </c>
      <c r="D11" s="4" t="inlineStr">
        <is>
          <t>Local receptacle 220 VAC ke PSU (jalur daya merah)</t>
        </is>
      </c>
      <c r="E11" s="7" t="inlineStr">
        <is>
          <t>PTMN (Pertamina RU IV)</t>
        </is>
      </c>
      <c r="F11" s="4" t="inlineStr">
        <is>
          <t>PTMN (Pertamina RU IV)</t>
        </is>
      </c>
      <c r="G11" s="4" t="inlineStr">
        <is>
          <t>Sumber 220 VAC tersedia &amp; terproteksi (MCB); polaritas L/N/PE benar</t>
        </is>
      </c>
      <c r="H11" s="4" t="inlineStr">
        <is>
          <t>Belum</t>
        </is>
      </c>
      <c r="I11" s="4" t="inlineStr"/>
      <c r="J11" s="4" t="inlineStr"/>
      <c r="K11" s="4" t="inlineStr"/>
      <c r="L11" s="4" t="inlineStr"/>
    </row>
    <row r="12">
      <c r="A12" s="4" t="n">
        <v>8</v>
      </c>
      <c r="B12" s="5" t="inlineStr">
        <is>
          <t>Field</t>
        </is>
      </c>
      <c r="C12" s="4" t="inlineStr">
        <is>
          <t>Kabel daya PSU → GLD</t>
        </is>
      </c>
      <c r="D12" s="4" t="inlineStr">
        <is>
          <t>Power cable 24VDC, 2C, 16AWG (butir 4)</t>
        </is>
      </c>
      <c r="E12" s="7" t="inlineStr">
        <is>
          <t>PTMN (Pertamina RU IV)</t>
        </is>
      </c>
      <c r="F12" s="4" t="inlineStr">
        <is>
          <t>PTMN (Pertamina RU IV)</t>
        </is>
      </c>
      <c r="G12" s="4" t="inlineStr">
        <is>
          <t>Panjang &amp; jalur kabel sesuai; polaritas +/− di terminal GLD benar; tegangan di terminal GLD terukur</t>
        </is>
      </c>
      <c r="H12" s="4" t="inlineStr">
        <is>
          <t>Belum</t>
        </is>
      </c>
      <c r="I12" s="4" t="inlineStr"/>
      <c r="J12" s="4" t="inlineStr"/>
      <c r="K12" s="4" t="inlineStr"/>
      <c r="L12" s="4" t="inlineStr"/>
    </row>
    <row r="13">
      <c r="A13" s="4" t="n">
        <v>9</v>
      </c>
      <c r="B13" s="5" t="inlineStr">
        <is>
          <t>Field</t>
        </is>
      </c>
      <c r="C13" s="4" t="inlineStr">
        <is>
          <t>Cluster Head (CH)</t>
        </is>
      </c>
      <c r="D13" s="4" t="inlineStr">
        <is>
          <t>CH, LoRa wireless dari GLD dan ke Gateway</t>
        </is>
      </c>
      <c r="E13" s="6" t="inlineStr">
        <is>
          <t>LGU</t>
        </is>
      </c>
      <c r="F13" s="4" t="inlineStr">
        <is>
          <t>PTMN (Pertamina RU IV)</t>
        </is>
      </c>
      <c r="G13" s="4" t="inlineStr">
        <is>
          <t>Unit CH tersedia &amp; teruji; posisi CH sesuai layout; line-of-sight ke GLD &amp; Gateway</t>
        </is>
      </c>
      <c r="H13" s="4" t="inlineStr">
        <is>
          <t>Belum</t>
        </is>
      </c>
      <c r="I13" s="4" t="inlineStr"/>
      <c r="J13" s="4" t="inlineStr"/>
      <c r="K13" s="4" t="inlineStr"/>
      <c r="L13" s="4" t="inlineStr"/>
    </row>
    <row r="14">
      <c r="A14" s="4" t="n">
        <v>10</v>
      </c>
      <c r="B14" s="5" t="inlineStr">
        <is>
          <t>Field</t>
        </is>
      </c>
      <c r="C14" s="4" t="inlineStr">
        <is>
          <t>Mounting CH</t>
        </is>
      </c>
      <c r="D14" s="4" t="inlineStr">
        <is>
          <t>Tidak digambarkan di diagram</t>
        </is>
      </c>
      <c r="E14" s="6" t="inlineStr">
        <is>
          <t>LGU</t>
        </is>
      </c>
      <c r="F14" s="4" t="inlineStr">
        <is>
          <t>PTMN (Pertamina RU IV)</t>
        </is>
      </c>
      <c r="G14" s="4" t="inlineStr">
        <is>
          <t>Konfirmasi siapa menyediakan tiang/bracket CH (diagram tidak menampilkan mounting CH)</t>
        </is>
      </c>
      <c r="H14" s="4" t="inlineStr">
        <is>
          <t>Belum</t>
        </is>
      </c>
      <c r="I14" s="4" t="inlineStr"/>
      <c r="J14" s="4" t="inlineStr"/>
      <c r="K14" s="4" t="inlineStr"/>
      <c r="L14" s="4" t="inlineStr"/>
    </row>
    <row r="15">
      <c r="A15" s="4" t="n">
        <v>11</v>
      </c>
      <c r="B15" s="5" t="inlineStr">
        <is>
          <t>Field</t>
        </is>
      </c>
      <c r="C15" s="4" t="inlineStr">
        <is>
          <t>Solar cell → CH</t>
        </is>
      </c>
      <c r="D15" s="4" t="inlineStr">
        <is>
          <t>Solar cell (LGU) mencatu CH (jalur daya merah)</t>
        </is>
      </c>
      <c r="E15" s="6" t="inlineStr">
        <is>
          <t>LGU</t>
        </is>
      </c>
      <c r="F15" s="4" t="inlineStr">
        <is>
          <t>PTMN (Pertamina RU IV)</t>
        </is>
      </c>
      <c r="G15" s="4" t="inlineStr">
        <is>
          <t>Panel terpasang menghadap utara, sudut sesuai, kabel ke CH aman; tegangan pengisian terukur</t>
        </is>
      </c>
      <c r="H15" s="4" t="inlineStr">
        <is>
          <t>Belum</t>
        </is>
      </c>
      <c r="I15" s="4" t="inlineStr"/>
      <c r="J15" s="4" t="inlineStr"/>
      <c r="K15" s="4" t="inlineStr"/>
      <c r="L15" s="4" t="inlineStr"/>
    </row>
    <row r="16">
      <c r="A16" s="4" t="n">
        <v>12</v>
      </c>
      <c r="B16" s="5" t="inlineStr">
        <is>
          <t>Field</t>
        </is>
      </c>
      <c r="C16" s="4" t="inlineStr">
        <is>
          <t>Link LoRa GLD → CH</t>
        </is>
      </c>
      <c r="D16" s="4" t="inlineStr">
        <is>
          <t>Sinyal LoRa (wireless)</t>
        </is>
      </c>
      <c r="E16" s="6" t="inlineStr">
        <is>
          <t>LGU</t>
        </is>
      </c>
      <c r="F16" s="4" t="inlineStr">
        <is>
          <t>—</t>
        </is>
      </c>
      <c r="G16" s="4" t="inlineStr">
        <is>
          <t>Data GLD diterima CH; RSSI/SNR tercatat; uji kirim alarm</t>
        </is>
      </c>
      <c r="H16" s="4" t="inlineStr">
        <is>
          <t>Belum</t>
        </is>
      </c>
      <c r="I16" s="4" t="inlineStr"/>
      <c r="J16" s="4" t="inlineStr"/>
      <c r="K16" s="4" t="inlineStr"/>
      <c r="L16" s="4" t="inlineStr"/>
    </row>
    <row r="17">
      <c r="A17" s="4" t="n">
        <v>13</v>
      </c>
      <c r="B17" s="5" t="inlineStr">
        <is>
          <t>Field</t>
        </is>
      </c>
      <c r="C17" s="4" t="inlineStr">
        <is>
          <t>Link LoRa CH → Gateway</t>
        </is>
      </c>
      <c r="D17" s="4" t="inlineStr">
        <is>
          <t>Sinyal LoRa (wireless), field → building</t>
        </is>
      </c>
      <c r="E17" s="6" t="inlineStr">
        <is>
          <t>LGU</t>
        </is>
      </c>
      <c r="F17" s="4" t="inlineStr">
        <is>
          <t>—</t>
        </is>
      </c>
      <c r="G17" s="4" t="inlineStr">
        <is>
          <t>Data CH diterima Gateway; RSSI/SNR tercatat; uji failover bila ada CH lebih dari satu</t>
        </is>
      </c>
      <c r="H17" s="4" t="inlineStr">
        <is>
          <t>Belum</t>
        </is>
      </c>
      <c r="I17" s="4" t="inlineStr"/>
      <c r="J17" s="4" t="inlineStr"/>
      <c r="K17" s="4" t="inlineStr"/>
      <c r="L17" s="4" t="inlineStr"/>
    </row>
    <row r="18">
      <c r="A18" s="4" t="n">
        <v>14</v>
      </c>
      <c r="B18" s="8" t="inlineStr">
        <is>
          <t>Building</t>
        </is>
      </c>
      <c r="C18" s="4" t="inlineStr">
        <is>
          <t>Mounting support Gateway</t>
        </is>
      </c>
      <c r="D18" s="4" t="inlineStr">
        <is>
          <t>Mounting support by PTMN</t>
        </is>
      </c>
      <c r="E18" s="7" t="inlineStr">
        <is>
          <t>PTMN (Pertamina RU IV)</t>
        </is>
      </c>
      <c r="F18" s="4" t="inlineStr">
        <is>
          <t>PTMN (Pertamina RU IV)</t>
        </is>
      </c>
      <c r="G18" s="4" t="inlineStr">
        <is>
          <t>Lokasi Gateway di gedung disetujui; dudukan/bracket terpasang; antena dapat menjangkau CH</t>
        </is>
      </c>
      <c r="H18" s="4" t="inlineStr">
        <is>
          <t>Belum</t>
        </is>
      </c>
      <c r="I18" s="4" t="inlineStr"/>
      <c r="J18" s="4" t="inlineStr"/>
      <c r="K18" s="4" t="inlineStr"/>
      <c r="L18" s="4" t="inlineStr"/>
    </row>
    <row r="19">
      <c r="A19" s="4" t="n">
        <v>15</v>
      </c>
      <c r="B19" s="8" t="inlineStr">
        <is>
          <t>Building</t>
        </is>
      </c>
      <c r="C19" s="4" t="inlineStr">
        <is>
          <t>Gateway</t>
        </is>
      </c>
      <c r="D19" s="4" t="inlineStr">
        <is>
          <t>Gateway (Provided by LGU), 5 VDC via adaptor dari UPS (butir 6)</t>
        </is>
      </c>
      <c r="E19" s="6" t="inlineStr">
        <is>
          <t>LGU</t>
        </is>
      </c>
      <c r="F19" s="4" t="inlineStr">
        <is>
          <t>PTMN (Pertamina RU IV)</t>
        </is>
      </c>
      <c r="G19" s="4" t="inlineStr">
        <is>
          <t>Unit Gateway tersedia, konfigurasi frekuensi 921 MHz, menerima data CH</t>
        </is>
      </c>
      <c r="H19" s="4" t="inlineStr">
        <is>
          <t>Belum</t>
        </is>
      </c>
      <c r="I19" s="4" t="inlineStr"/>
      <c r="J19" s="4" t="inlineStr"/>
      <c r="K19" s="4" t="inlineStr"/>
      <c r="L19" s="4" t="inlineStr"/>
    </row>
    <row r="20">
      <c r="A20" s="4" t="n">
        <v>16</v>
      </c>
      <c r="B20" s="8" t="inlineStr">
        <is>
          <t>Building</t>
        </is>
      </c>
      <c r="C20" s="4" t="inlineStr">
        <is>
          <t>Adaptor Gateway</t>
        </is>
      </c>
      <c r="D20" s="4" t="inlineStr">
        <is>
          <t>Adaptor 5 VDC, catu dari UPS</t>
        </is>
      </c>
      <c r="E20" s="6" t="inlineStr">
        <is>
          <t>LGU</t>
        </is>
      </c>
      <c r="F20" s="4" t="inlineStr">
        <is>
          <t>PTMN (Pertamina RU IV)</t>
        </is>
      </c>
      <c r="G20" s="4" t="inlineStr">
        <is>
          <t>Adaptor 5 VDC terpasang ke outlet UPS; tegangan terukur; kabel rapi</t>
        </is>
      </c>
      <c r="H20" s="4" t="inlineStr">
        <is>
          <t>Belum</t>
        </is>
      </c>
      <c r="I20" s="4" t="inlineStr"/>
      <c r="J20" s="4" t="inlineStr"/>
      <c r="K20" s="4" t="inlineStr"/>
      <c r="L20" s="4" t="inlineStr"/>
    </row>
    <row r="21">
      <c r="A21" s="4" t="n">
        <v>17</v>
      </c>
      <c r="B21" s="8" t="inlineStr">
        <is>
          <t>Building</t>
        </is>
      </c>
      <c r="C21" s="4" t="inlineStr">
        <is>
          <t>WiFi Router 2,4 GHz</t>
        </is>
      </c>
      <c r="D21" s="4" t="inlineStr">
        <is>
          <t>WiFi Router 2.4 GHz (Provided by LGU), adaptor dari UPS (butir 7)</t>
        </is>
      </c>
      <c r="E21" s="6" t="inlineStr">
        <is>
          <t>LGU</t>
        </is>
      </c>
      <c r="F21" s="4" t="inlineStr">
        <is>
          <t>PTMN (Pertamina RU IV)</t>
        </is>
      </c>
      <c r="G21" s="4" t="inlineStr">
        <is>
          <t>Router terpasang &amp; dikonfigurasi (SSID lokal, tanpa internet); label perangkat bersertifikat</t>
        </is>
      </c>
      <c r="H21" s="4" t="inlineStr">
        <is>
          <t>Belum</t>
        </is>
      </c>
      <c r="I21" s="4" t="inlineStr"/>
      <c r="J21" s="4" t="inlineStr"/>
      <c r="K21" s="4" t="inlineStr"/>
      <c r="L21" s="4" t="inlineStr"/>
    </row>
    <row r="22">
      <c r="A22" s="4" t="n">
        <v>18</v>
      </c>
      <c r="B22" s="8" t="inlineStr">
        <is>
          <t>Building</t>
        </is>
      </c>
      <c r="C22" s="4" t="inlineStr">
        <is>
          <t>Adaptor Router</t>
        </is>
      </c>
      <c r="D22" s="4" t="inlineStr">
        <is>
          <t>Adaptor router, catu dari UPS</t>
        </is>
      </c>
      <c r="E22" s="6" t="inlineStr">
        <is>
          <t>LGU</t>
        </is>
      </c>
      <c r="F22" s="4" t="inlineStr">
        <is>
          <t>PTMN (Pertamina RU IV)</t>
        </is>
      </c>
      <c r="G22" s="4" t="inlineStr">
        <is>
          <t>Adaptor terpasang ke outlet UPS; router menyala setelah simulasi padam PLN</t>
        </is>
      </c>
      <c r="H22" s="4" t="inlineStr">
        <is>
          <t>Belum</t>
        </is>
      </c>
      <c r="I22" s="4" t="inlineStr"/>
      <c r="J22" s="4" t="inlineStr"/>
      <c r="K22" s="4" t="inlineStr"/>
      <c r="L22" s="4" t="inlineStr"/>
    </row>
    <row r="23">
      <c r="A23" s="4" t="n">
        <v>19</v>
      </c>
      <c r="B23" s="8" t="inlineStr">
        <is>
          <t>Building</t>
        </is>
      </c>
      <c r="C23" s="4" t="inlineStr">
        <is>
          <t>Link WiFi Gateway → Router</t>
        </is>
      </c>
      <c r="D23" s="4" t="inlineStr">
        <is>
          <t>Sinyal WiFi 2,4 GHz (wireless)</t>
        </is>
      </c>
      <c r="E23" s="6" t="inlineStr">
        <is>
          <t>LGU</t>
        </is>
      </c>
      <c r="F23" s="4" t="inlineStr">
        <is>
          <t>—</t>
        </is>
      </c>
      <c r="G23" s="4" t="inlineStr">
        <is>
          <t>Gateway terhubung ke router; IP Gateway tercatat; koneksi stabil</t>
        </is>
      </c>
      <c r="H23" s="4" t="inlineStr">
        <is>
          <t>Belum</t>
        </is>
      </c>
      <c r="I23" s="4" t="inlineStr"/>
      <c r="J23" s="4" t="inlineStr"/>
      <c r="K23" s="4" t="inlineStr"/>
      <c r="L23" s="4" t="inlineStr"/>
    </row>
    <row r="24">
      <c r="A24" s="4" t="n">
        <v>20</v>
      </c>
      <c r="B24" s="8" t="inlineStr">
        <is>
          <t>Building</t>
        </is>
      </c>
      <c r="C24" s="4" t="inlineStr">
        <is>
          <t>LAN Cat6 Router → Server</t>
        </is>
      </c>
      <c r="D24" s="4" t="inlineStr">
        <is>
          <t>LAN Cable Cat6 lokal, tanpa internet (butir 8)</t>
        </is>
      </c>
      <c r="E24" s="6" t="inlineStr">
        <is>
          <t>LGU</t>
        </is>
      </c>
      <c r="F24" s="4" t="inlineStr">
        <is>
          <t>PTMN (Pertamina RU IV)</t>
        </is>
      </c>
      <c r="G24" s="4" t="inlineStr">
        <is>
          <t>Kabel Cat6 terpasang &amp; berlabel; link up; ping router ↔ server berhasil</t>
        </is>
      </c>
      <c r="H24" s="4" t="inlineStr">
        <is>
          <t>Belum</t>
        </is>
      </c>
      <c r="I24" s="4" t="inlineStr"/>
      <c r="J24" s="4" t="inlineStr"/>
      <c r="K24" s="4" t="inlineStr"/>
      <c r="L24" s="4" t="inlineStr"/>
    </row>
    <row r="25">
      <c r="A25" s="4" t="n">
        <v>21</v>
      </c>
      <c r="B25" s="8" t="inlineStr">
        <is>
          <t>Building</t>
        </is>
      </c>
      <c r="C25" s="4" t="inlineStr">
        <is>
          <t>Server</t>
        </is>
      </c>
      <c r="D25" s="4" t="inlineStr">
        <is>
          <t>Server (catu 220 VAC dari UPS)</t>
        </is>
      </c>
      <c r="E25" s="7" t="inlineStr">
        <is>
          <t>PTMN (Pertamina RU IV)</t>
        </is>
      </c>
      <c r="F25" s="4" t="inlineStr">
        <is>
          <t>PTMN (Pertamina RU IV)</t>
        </is>
      </c>
      <c r="G25" s="4" t="inlineStr">
        <is>
          <t>PC server tersedia (spek usulan: 4 core, 8 GB, SSD 256 GB, 2 port LAN); aplikasi GLD terpasang</t>
        </is>
      </c>
      <c r="H25" s="4" t="inlineStr">
        <is>
          <t>Belum</t>
        </is>
      </c>
      <c r="I25" s="4" t="inlineStr"/>
      <c r="J25" s="4" t="inlineStr"/>
      <c r="K25" s="4" t="inlineStr"/>
      <c r="L25" s="4" t="inlineStr"/>
    </row>
    <row r="26">
      <c r="A26" s="4" t="n">
        <v>22</v>
      </c>
      <c r="B26" s="8" t="inlineStr">
        <is>
          <t>Building</t>
        </is>
      </c>
      <c r="C26" s="4" t="inlineStr">
        <is>
          <t>UPS</t>
        </is>
      </c>
      <c r="D26" s="4" t="inlineStr">
        <is>
          <t>UPS mencatu Gateway, Router (via adaptor), dan Server (220 VAC)</t>
        </is>
      </c>
      <c r="E26" s="7" t="inlineStr">
        <is>
          <t>PTMN (Pertamina RU IV)</t>
        </is>
      </c>
      <c r="F26" s="4" t="inlineStr">
        <is>
          <t>PTMN (Pertamina RU IV)</t>
        </is>
      </c>
      <c r="G26" s="4" t="inlineStr">
        <is>
          <t>Kapasitas UPS cukup untuk 3 beban; waktu cadangan tercatat; uji padam</t>
        </is>
      </c>
      <c r="H26" s="4" t="inlineStr">
        <is>
          <t>Belum</t>
        </is>
      </c>
      <c r="I26" s="4" t="inlineStr"/>
      <c r="J26" s="4" t="inlineStr"/>
      <c r="K26" s="4" t="inlineStr"/>
      <c r="L26" s="4" t="inlineStr"/>
    </row>
    <row r="27">
      <c r="A27" s="4" t="n">
        <v>23</v>
      </c>
      <c r="B27" s="8" t="inlineStr">
        <is>
          <t>Building</t>
        </is>
      </c>
      <c r="C27" s="4" t="inlineStr">
        <is>
          <t>Server → IT Network</t>
        </is>
      </c>
      <c r="D27" s="4" t="inlineStr">
        <is>
          <t>Komunikasi data ke IT Network (jaringan intranet kilang)</t>
        </is>
      </c>
      <c r="E27" s="7" t="inlineStr">
        <is>
          <t>PTMN (Pertamina RU IV)</t>
        </is>
      </c>
      <c r="F27" s="4" t="inlineStr">
        <is>
          <t>PTMN (Pertamina RU IV)</t>
        </is>
      </c>
      <c r="G27" s="4" t="inlineStr">
        <is>
          <t>NIC kedua server tersambung ke intranet; dashboard dapat diakses dari kantor; persetujuan IT kilang</t>
        </is>
      </c>
      <c r="H27" s="4" t="inlineStr">
        <is>
          <t>Belum</t>
        </is>
      </c>
      <c r="I27" s="4" t="inlineStr"/>
      <c r="J27" s="4" t="inlineStr"/>
      <c r="K27" s="4" t="inlineStr"/>
      <c r="L27" s="4" t="inlineStr"/>
    </row>
    <row r="28">
      <c r="A28" s="4" t="n">
        <v>24</v>
      </c>
      <c r="B28" s="9" t="inlineStr">
        <is>
          <t>Sistem</t>
        </is>
      </c>
      <c r="C28" s="4" t="inlineStr">
        <is>
          <t>Uji end-to-end</t>
        </is>
      </c>
      <c r="D28" s="4" t="inlineStr">
        <is>
          <t>GLD → CH → Gateway → Router → Server → Dashboard</t>
        </is>
      </c>
      <c r="E28" s="6" t="inlineStr">
        <is>
          <t>LGU</t>
        </is>
      </c>
      <c r="F28" s="4" t="inlineStr">
        <is>
          <t>PTMN (Pertamina RU IV)</t>
        </is>
      </c>
      <c r="G28" s="4" t="inlineStr">
        <is>
          <t>Data normal tampil di dashboard; uji gas → alarm muncul otomatis; waktu respons dicatat</t>
        </is>
      </c>
      <c r="H28" s="4" t="inlineStr">
        <is>
          <t>Belum</t>
        </is>
      </c>
      <c r="I28" s="4" t="inlineStr"/>
      <c r="J28" s="4" t="inlineStr"/>
      <c r="K28" s="4" t="inlineStr"/>
      <c r="L28" s="4" t="inlineStr"/>
    </row>
    <row r="29">
      <c r="A29" s="4" t="n">
        <v>25</v>
      </c>
      <c r="B29" s="9" t="inlineStr">
        <is>
          <t>Sistem</t>
        </is>
      </c>
      <c r="C29" s="4" t="inlineStr">
        <is>
          <t>Uji ketahanan daya</t>
        </is>
      </c>
      <c r="D29" s="4" t="inlineStr">
        <is>
          <t>UPS &amp; 24 VDC</t>
        </is>
      </c>
      <c r="E29" s="6" t="inlineStr">
        <is>
          <t>LGU</t>
        </is>
      </c>
      <c r="F29" s="4" t="inlineStr">
        <is>
          <t>PTMN (Pertamina RU IV)</t>
        </is>
      </c>
      <c r="G29" s="4" t="inlineStr">
        <is>
          <t>Simulasi padam 220 VAC: perilaku GLD (mati) &amp; Gateway/Server (tetap hidup via UPS) dicatat</t>
        </is>
      </c>
      <c r="H29" s="4" t="inlineStr">
        <is>
          <t>Belum</t>
        </is>
      </c>
      <c r="I29" s="4" t="inlineStr"/>
      <c r="J29" s="4" t="inlineStr"/>
      <c r="K29" s="4" t="inlineStr"/>
      <c r="L29" s="4" t="inlineStr"/>
    </row>
    <row r="30">
      <c r="A30" s="4" t="n">
        <v>26</v>
      </c>
      <c r="B30" s="9" t="inlineStr">
        <is>
          <t>Sistem</t>
        </is>
      </c>
      <c r="C30" s="4" t="inlineStr">
        <is>
          <t>Serah terima</t>
        </is>
      </c>
      <c r="D30" s="4" t="inlineStr">
        <is>
          <t>Berita acara instalasi &amp; commissioning</t>
        </is>
      </c>
      <c r="E30" s="6" t="inlineStr">
        <is>
          <t>LGU</t>
        </is>
      </c>
      <c r="F30" s="4" t="inlineStr">
        <is>
          <t>PTMN (Pertamina RU IV)</t>
        </is>
      </c>
      <c r="G30" s="4" t="inlineStr">
        <is>
          <t>Foto as-built, daftar nomor seri, hasil uji, tanda tangan LGU &amp; RU IV</t>
        </is>
      </c>
      <c r="H30" s="4" t="inlineStr">
        <is>
          <t>Belum</t>
        </is>
      </c>
      <c r="I30" s="4" t="inlineStr"/>
      <c r="J30" s="4" t="inlineStr"/>
      <c r="K30" s="4" t="inlineStr"/>
      <c r="L30" s="4" t="inlineStr"/>
    </row>
  </sheetData>
  <autoFilter ref="A4:L30"/>
  <mergeCells count="2">
    <mergeCell ref="A2:L2"/>
    <mergeCell ref="A1:L1"/>
  </mergeCells>
  <conditionalFormatting sqref="H5:H80">
    <cfRule type="cellIs" priority="1" operator="equal" dxfId="0">
      <formula>"Belum"</formula>
    </cfRule>
    <cfRule type="cellIs" priority="2" operator="equal" dxfId="1">
      <formula>"Proses"</formula>
    </cfRule>
    <cfRule type="cellIs" priority="3" operator="equal" dxfId="2">
      <formula>"Selesai"</formula>
    </cfRule>
    <cfRule type="cellIs" priority="4" operator="equal" dxfId="3">
      <formula>"N.A."</formula>
    </cfRule>
  </conditionalFormatting>
  <dataValidations count="1">
    <dataValidation sqref="H5:H80" showDropDown="0" showInputMessage="0" showErrorMessage="0" allowBlank="1" type="list">
      <formula1>"Belum,Proses,Selesai,N.A."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0" t="inlineStr">
        <is>
          <t>Ringkasan status checklist</t>
        </is>
      </c>
    </row>
    <row r="3">
      <c r="A3" s="11" t="inlineStr">
        <is>
          <t>Semua item</t>
        </is>
      </c>
    </row>
    <row r="4">
      <c r="A4" s="12" t="inlineStr">
        <is>
          <t>Status</t>
        </is>
      </c>
      <c r="B4" s="12" t="inlineStr">
        <is>
          <t>Jumlah</t>
        </is>
      </c>
      <c r="C4" s="12" t="inlineStr">
        <is>
          <t>%</t>
        </is>
      </c>
    </row>
    <row r="5">
      <c r="A5" s="13" t="inlineStr">
        <is>
          <t>Belum</t>
        </is>
      </c>
      <c r="B5" s="14">
        <f>COUNTIF('Checklist'!$H$5:$H$30,"Belum")</f>
        <v/>
      </c>
      <c r="C5" s="15">
        <f>IF($B$9=0,0,B5/$B$9)</f>
        <v/>
      </c>
    </row>
    <row r="6">
      <c r="A6" s="16" t="inlineStr">
        <is>
          <t>Proses</t>
        </is>
      </c>
      <c r="B6" s="14">
        <f>COUNTIF('Checklist'!$H$5:$H$30,"Proses")</f>
        <v/>
      </c>
      <c r="C6" s="15">
        <f>IF($B$9=0,0,B6/$B$9)</f>
        <v/>
      </c>
    </row>
    <row r="7">
      <c r="A7" s="17" t="inlineStr">
        <is>
          <t>Selesai</t>
        </is>
      </c>
      <c r="B7" s="14">
        <f>COUNTIF('Checklist'!$H$5:$H$30,"Selesai")</f>
        <v/>
      </c>
      <c r="C7" s="15">
        <f>IF($B$9=0,0,B7/$B$9)</f>
        <v/>
      </c>
    </row>
    <row r="8">
      <c r="A8" s="18" t="inlineStr">
        <is>
          <t>N.A.</t>
        </is>
      </c>
      <c r="B8" s="14">
        <f>COUNTIF('Checklist'!$H$5:$H$30,"N.A.")</f>
        <v/>
      </c>
      <c r="C8" s="15">
        <f>IF($B$9=0,0,B8/$B$9)</f>
        <v/>
      </c>
    </row>
    <row r="9">
      <c r="A9" s="19" t="inlineStr">
        <is>
          <t>Total</t>
        </is>
      </c>
      <c r="B9" s="19">
        <f>SUM(B5:B8)</f>
        <v/>
      </c>
    </row>
    <row r="11">
      <c r="A11" s="11" t="inlineStr">
        <is>
          <t>Per penyedia</t>
        </is>
      </c>
    </row>
    <row r="12">
      <c r="A12" s="20" t="inlineStr">
        <is>
          <t>Penyedia</t>
        </is>
      </c>
      <c r="B12" s="20" t="inlineStr">
        <is>
          <t>Item</t>
        </is>
      </c>
      <c r="C12" s="20" t="inlineStr">
        <is>
          <t>Selesai</t>
        </is>
      </c>
    </row>
    <row r="13">
      <c r="A13" t="inlineStr">
        <is>
          <t>LGU</t>
        </is>
      </c>
      <c r="B13">
        <f>COUNTIF(Checklist!$E$5:$E$30,"LGU")</f>
        <v/>
      </c>
      <c r="C13">
        <f>COUNTIFS(Checklist!$E$5:$E$30,"LGU",Checklist!$H$5:$H$30,"Selesai")</f>
        <v/>
      </c>
    </row>
    <row r="14">
      <c r="A14" t="inlineStr">
        <is>
          <t>PTMN (Pertamina RU IV)</t>
        </is>
      </c>
      <c r="B14">
        <f>COUNTIF(Checklist!$E$5:$E$30,"PTMN (Pertamina RU IV)")</f>
        <v/>
      </c>
      <c r="C14">
        <f>COUNTIFS(Checklist!$E$5:$E$30,"PTMN (Pertamina RU IV)",Checklist!$H$5:$H$30,"Selesai")</f>
        <v/>
      </c>
    </row>
    <row r="16" ht="30" customHeight="1">
      <c r="A16" s="21" t="inlineStr">
        <is>
          <t>Keterangan warna lingkup suplai (sesuai diagram): biru = disuplai LGU; kuning = disuplai PTMN.</t>
        </is>
      </c>
    </row>
    <row r="17" ht="30" customHeight="1">
      <c r="A17" s="21" t="inlineStr">
        <is>
          <t>Keterangan jalur: merah = daya (220 VAC / 24 VDC); putus-putus biru = LoRa; titik biru = WiFi 2,4 GHz; biru tegas = LAN Cat6 lokal tanpa internet.</t>
        </is>
      </c>
    </row>
    <row r="18" ht="30" customHeight="1">
      <c r="A18" s="21" t="inlineStr">
        <is>
          <t>Kolom 'Instalasi / infrastruktur oleh' = PTMN untuk perangkat di lapangan dan gedung; LGU melakukan supervisi teknis, konfigurasi perangkat, dan commissioning.</t>
        </is>
      </c>
    </row>
    <row r="19" ht="30" customHeight="1">
      <c r="A19" s="21" t="inlineStr">
        <is>
          <t>Mounting CH tidak digambarkan di diagram — perlu dikonfirmasi (item no. 10).</t>
        </is>
      </c>
    </row>
  </sheetData>
  <mergeCells count="4">
    <mergeCell ref="A19:F19"/>
    <mergeCell ref="A16:F16"/>
    <mergeCell ref="A17:F17"/>
    <mergeCell ref="A18:F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Block diagram lingkup (versi final, sumber checklist)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2026-10-28T00:09:50Z</dcterms:created>
  <dcterms:modified xmlns:dcterms="http://purl.org/dc/terms/" xmlns:xsi="http://www.w3.org/2001/XMLSchema-instance" xsi:type="dcterms:W3CDTF">2026-10-28T00:09:50Z</dcterms:modified>
</cp:coreProperties>
</file>