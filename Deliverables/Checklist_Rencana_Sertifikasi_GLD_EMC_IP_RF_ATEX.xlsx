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Checklist EMC" sheetId="2" state="visible" r:id="rId2"/>
    <sheet xmlns:r="http://schemas.openxmlformats.org/officeDocument/2006/relationships" name="Rencana IP" sheetId="3" state="visible" r:id="rId3"/>
    <sheet xmlns:r="http://schemas.openxmlformats.org/officeDocument/2006/relationships" name="Rencana RF" sheetId="4" state="visible" r:id="rId4"/>
    <sheet xmlns:r="http://schemas.openxmlformats.org/officeDocument/2006/relationships" name="Monitor ATEX" sheetId="5" state="visible" r:id="rId5"/>
    <sheet xmlns:r="http://schemas.openxmlformats.org/officeDocument/2006/relationships" name="Log ATEX" sheetId="6" state="visible" r:id="rId6"/>
  </sheets>
  <definedNames>
    <definedName name="_xlnm._FilterDatabase" localSheetId="1" hidden="1">'Checklist EMC'!$A$4:$J$22</definedName>
    <definedName name="_xlnm._FilterDatabase" localSheetId="2" hidden="1">'Rencana IP'!$A$4:$J$16</definedName>
    <definedName name="_xlnm._FilterDatabase" localSheetId="3" hidden="1">'Rencana RF'!$A$4:$J$21</definedName>
    <definedName name="_xlnm._FilterDatabase" localSheetId="4" hidden="1">'Monitor ATEX'!$A$4:$J$24</definedName>
    <definedName name="_xlnm._FilterDatabase" localSheetId="5" hidden="1">'Log ATEX'!$A$4:$E$10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B66"/>
      <sz val="9.5"/>
    </font>
    <font>
      <b val="1"/>
      <color rgb="00FFFFFF"/>
      <sz val="10"/>
    </font>
    <font>
      <sz val="9.5"/>
    </font>
    <font>
      <b val="1"/>
      <color rgb="001B2A4A"/>
      <sz val="14"/>
    </font>
    <font>
      <i val="1"/>
      <color rgb="00555B66"/>
    </font>
    <font>
      <b val="1"/>
      <color rgb="001B2A4A"/>
      <sz val="11"/>
    </font>
    <font>
      <b val="1"/>
      <color rgb="00FFFFFF"/>
    </font>
    <font>
      <b val="1"/>
      <color rgb="00B3261E"/>
    </font>
    <font>
      <b val="1"/>
      <color rgb="009A6200"/>
    </font>
    <font>
      <b val="1"/>
      <color rgb="002B5FCB"/>
    </font>
    <font>
      <b val="1"/>
      <color rgb="001E7B3A"/>
    </font>
    <font>
      <b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B5FCB"/>
      </patternFill>
    </fill>
    <fill>
      <patternFill patternType="solid">
        <fgColor rgb="00FBE6E4"/>
      </patternFill>
    </fill>
    <fill>
      <patternFill patternType="solid">
        <fgColor rgb="00FFF3DC"/>
      </patternFill>
    </fill>
    <fill>
      <patternFill patternType="solid">
        <fgColor rgb="00E8EEFA"/>
      </patternFill>
    </fill>
    <fill>
      <patternFill patternType="solid">
        <fgColor rgb="00EAF4E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0" fillId="0" borderId="0" applyAlignment="1" pivotButton="0" quotePrefix="0" xfId="0">
      <alignment vertical="top" wrapText="1"/>
    </xf>
    <xf numFmtId="0" fontId="9" fillId="4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7" borderId="1" pivotButton="0" quotePrefix="0" xfId="0"/>
    <xf numFmtId="0" fontId="13" fillId="8" borderId="1" pivotButton="0" quotePrefix="0" xfId="0"/>
    <xf numFmtId="0" fontId="1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B3261E"/>
      </font>
      <fill>
        <patternFill patternType="solid">
          <fgColor rgb="00FBE6E4"/>
        </patternFill>
      </fill>
    </dxf>
    <dxf>
      <font>
        <b val="1"/>
        <color rgb="009A6200"/>
      </font>
      <fill>
        <patternFill patternType="solid">
          <fgColor rgb="00FFF3DC"/>
        </patternFill>
      </fill>
    </dxf>
    <dxf>
      <font>
        <b val="1"/>
        <color rgb="002B5FCB"/>
      </font>
      <fill>
        <patternFill patternType="solid">
          <fgColor rgb="00E8EEFA"/>
        </patternFill>
      </fill>
    </dxf>
    <dxf>
      <font>
        <b val="1"/>
        <color rgb="001E7B3A"/>
      </font>
      <fill>
        <patternFill patternType="solid">
          <fgColor rgb="00EAF4EC"/>
        </patternFill>
      </fill>
    </dxf>
    <dxf>
      <font>
        <b val="1"/>
        <color rgb="00666666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Ringkasan Sertifikasi GLD — EMC · IP · RF · ATEX</t>
        </is>
      </c>
    </row>
    <row r="2">
      <c r="A2" s="2" t="inlineStr">
        <is>
          <t>Status per 28 Oktober 2026. Angka dihitung otomatis dari kolom Status di setiap sheet.</t>
        </is>
      </c>
    </row>
    <row r="4">
      <c r="A4" s="3" t="inlineStr">
        <is>
          <t>Checklist EMC</t>
        </is>
      </c>
      <c r="E4" s="3" t="inlineStr">
        <is>
          <t>Catatan prioritas</t>
        </is>
      </c>
    </row>
    <row r="5" ht="30" customHeight="1">
      <c r="A5" s="4" t="inlineStr">
        <is>
          <t>Status</t>
        </is>
      </c>
      <c r="B5" s="4" t="inlineStr">
        <is>
          <t>Jumlah</t>
        </is>
      </c>
      <c r="C5" s="4" t="inlineStr">
        <is>
          <t>%</t>
        </is>
      </c>
      <c r="E5" s="5" t="inlineStr">
        <is>
          <t>1. EMC: margin GLD 0,51 dB @ 117,9 MHz — mitigasi &amp; re-scan sebelum uji resmi (EMC-07).</t>
        </is>
      </c>
    </row>
    <row r="6" ht="30" customHeight="1">
      <c r="A6" s="6" t="inlineStr">
        <is>
          <t>Belum</t>
        </is>
      </c>
      <c r="B6" s="7">
        <f>COUNTIF('Checklist EMC'!$E$5:$E$22,"Belum")</f>
        <v/>
      </c>
      <c r="C6" s="8">
        <f>IF($B$12=0,0,B6/$B$12)</f>
        <v/>
      </c>
      <c r="E6" s="5" t="inlineStr">
        <is>
          <t>2. RF: EIRP konfigurasi saat ini (GLD ≈ 25 dBm, CH mesh ≈ 30 dBm) perlu dicek ke batas SDPPI (RF-02/03).</t>
        </is>
      </c>
    </row>
    <row r="7" ht="30" customHeight="1">
      <c r="A7" s="9" t="inlineStr">
        <is>
          <t>Proses</t>
        </is>
      </c>
      <c r="B7" s="7">
        <f>COUNTIF('Checklist EMC'!$E$5:$E$22,"Proses")</f>
        <v/>
      </c>
      <c r="C7" s="8">
        <f>IF($B$12=0,0,B7/$B$12)</f>
        <v/>
      </c>
      <c r="E7" s="5" t="inlineStr">
        <is>
          <t>3. IP: inlet gas + fan terbuka perlu keputusan desain agar IP66 tercapai (IP-02).</t>
        </is>
      </c>
    </row>
    <row r="8" ht="30" customHeight="1">
      <c r="A8" s="9" t="inlineStr">
        <is>
          <t>Sebagian</t>
        </is>
      </c>
      <c r="B8" s="7">
        <f>COUNTIF('Checklist EMC'!$E$5:$E$22,"Sebagian")</f>
        <v/>
      </c>
      <c r="C8" s="8">
        <f>IF($B$12=0,0,B8/$B$12)</f>
        <v/>
      </c>
      <c r="E8" s="5" t="inlineStr">
        <is>
          <t>4. ATEX: tunggu umpan balik GTS, kirim ulang dossier terkoreksi, gambar flame path &amp; gland Ex d (AX-02…09).</t>
        </is>
      </c>
    </row>
    <row r="9" ht="30" customHeight="1">
      <c r="A9" s="10" t="inlineStr">
        <is>
          <t>Menunggu</t>
        </is>
      </c>
      <c r="B9" s="7">
        <f>COUNTIF('Checklist EMC'!$E$5:$E$22,"Menunggu")</f>
        <v/>
      </c>
      <c r="C9" s="8">
        <f>IF($B$12=0,0,B9/$B$12)</f>
        <v/>
      </c>
      <c r="E9" s="5" t="inlineStr">
        <is>
          <t>5. Termin 1 sertifikasi: sesi uji internal disaksikan Pertamina + berita acara (AX-17).</t>
        </is>
      </c>
    </row>
    <row r="10">
      <c r="A10" s="11" t="inlineStr">
        <is>
          <t>Selesai</t>
        </is>
      </c>
      <c r="B10" s="7">
        <f>COUNTIF('Checklist EMC'!$E$5:$E$22,"Selesai")</f>
        <v/>
      </c>
      <c r="C10" s="8">
        <f>IF($B$12=0,0,B10/$B$12)</f>
        <v/>
      </c>
    </row>
    <row r="11">
      <c r="A11" s="12" t="inlineStr">
        <is>
          <t>N.A.</t>
        </is>
      </c>
      <c r="B11" s="7">
        <f>COUNTIF('Checklist EMC'!$E$5:$E$22,"N.A.")</f>
        <v/>
      </c>
      <c r="C11" s="8">
        <f>IF($B$12=0,0,B11/$B$12)</f>
        <v/>
      </c>
    </row>
    <row r="12">
      <c r="A12" s="13" t="inlineStr">
        <is>
          <t>Total</t>
        </is>
      </c>
      <c r="B12" s="13">
        <f>SUM(B6:B11)</f>
        <v/>
      </c>
    </row>
    <row r="14">
      <c r="A14" s="3" t="inlineStr">
        <is>
          <t>Rencana IP</t>
        </is>
      </c>
    </row>
    <row r="15">
      <c r="A15" s="4" t="inlineStr">
        <is>
          <t>Status</t>
        </is>
      </c>
      <c r="B15" s="4" t="inlineStr">
        <is>
          <t>Jumlah</t>
        </is>
      </c>
      <c r="C15" s="4" t="inlineStr">
        <is>
          <t>%</t>
        </is>
      </c>
    </row>
    <row r="16">
      <c r="A16" s="6" t="inlineStr">
        <is>
          <t>Belum</t>
        </is>
      </c>
      <c r="B16" s="7">
        <f>COUNTIF('Rencana IP'!$G$5:$G$16,"Belum")</f>
        <v/>
      </c>
      <c r="C16" s="8">
        <f>IF($B$22=0,0,B16/$B$22)</f>
        <v/>
      </c>
    </row>
    <row r="17">
      <c r="A17" s="9" t="inlineStr">
        <is>
          <t>Proses</t>
        </is>
      </c>
      <c r="B17" s="7">
        <f>COUNTIF('Rencana IP'!$G$5:$G$16,"Proses")</f>
        <v/>
      </c>
      <c r="C17" s="8">
        <f>IF($B$22=0,0,B17/$B$22)</f>
        <v/>
      </c>
    </row>
    <row r="18">
      <c r="A18" s="9" t="inlineStr">
        <is>
          <t>Sebagian</t>
        </is>
      </c>
      <c r="B18" s="7">
        <f>COUNTIF('Rencana IP'!$G$5:$G$16,"Sebagian")</f>
        <v/>
      </c>
      <c r="C18" s="8">
        <f>IF($B$22=0,0,B18/$B$22)</f>
        <v/>
      </c>
    </row>
    <row r="19">
      <c r="A19" s="10" t="inlineStr">
        <is>
          <t>Menunggu</t>
        </is>
      </c>
      <c r="B19" s="7">
        <f>COUNTIF('Rencana IP'!$G$5:$G$16,"Menunggu")</f>
        <v/>
      </c>
      <c r="C19" s="8">
        <f>IF($B$22=0,0,B19/$B$22)</f>
        <v/>
      </c>
    </row>
    <row r="20">
      <c r="A20" s="11" t="inlineStr">
        <is>
          <t>Selesai</t>
        </is>
      </c>
      <c r="B20" s="7">
        <f>COUNTIF('Rencana IP'!$G$5:$G$16,"Selesai")</f>
        <v/>
      </c>
      <c r="C20" s="8">
        <f>IF($B$22=0,0,B20/$B$22)</f>
        <v/>
      </c>
    </row>
    <row r="21">
      <c r="A21" s="12" t="inlineStr">
        <is>
          <t>N.A.</t>
        </is>
      </c>
      <c r="B21" s="7">
        <f>COUNTIF('Rencana IP'!$G$5:$G$16,"N.A.")</f>
        <v/>
      </c>
      <c r="C21" s="8">
        <f>IF($B$22=0,0,B21/$B$22)</f>
        <v/>
      </c>
    </row>
    <row r="22">
      <c r="A22" s="13" t="inlineStr">
        <is>
          <t>Total</t>
        </is>
      </c>
      <c r="B22" s="13">
        <f>SUM(B16:B21)</f>
        <v/>
      </c>
    </row>
    <row r="24">
      <c r="A24" s="3" t="inlineStr">
        <is>
          <t>Rencana RF</t>
        </is>
      </c>
    </row>
    <row r="25">
      <c r="A25" s="4" t="inlineStr">
        <is>
          <t>Status</t>
        </is>
      </c>
      <c r="B25" s="4" t="inlineStr">
        <is>
          <t>Jumlah</t>
        </is>
      </c>
      <c r="C25" s="4" t="inlineStr">
        <is>
          <t>%</t>
        </is>
      </c>
    </row>
    <row r="26">
      <c r="A26" s="6" t="inlineStr">
        <is>
          <t>Belum</t>
        </is>
      </c>
      <c r="B26" s="7">
        <f>COUNTIF('Rencana RF'!$G$5:$G$21,"Belum")</f>
        <v/>
      </c>
      <c r="C26" s="8">
        <f>IF($B$32=0,0,B26/$B$32)</f>
        <v/>
      </c>
    </row>
    <row r="27">
      <c r="A27" s="9" t="inlineStr">
        <is>
          <t>Proses</t>
        </is>
      </c>
      <c r="B27" s="7">
        <f>COUNTIF('Rencana RF'!$G$5:$G$21,"Proses")</f>
        <v/>
      </c>
      <c r="C27" s="8">
        <f>IF($B$32=0,0,B27/$B$32)</f>
        <v/>
      </c>
    </row>
    <row r="28">
      <c r="A28" s="9" t="inlineStr">
        <is>
          <t>Sebagian</t>
        </is>
      </c>
      <c r="B28" s="7">
        <f>COUNTIF('Rencana RF'!$G$5:$G$21,"Sebagian")</f>
        <v/>
      </c>
      <c r="C28" s="8">
        <f>IF($B$32=0,0,B28/$B$32)</f>
        <v/>
      </c>
    </row>
    <row r="29">
      <c r="A29" s="10" t="inlineStr">
        <is>
          <t>Menunggu</t>
        </is>
      </c>
      <c r="B29" s="7">
        <f>COUNTIF('Rencana RF'!$G$5:$G$21,"Menunggu")</f>
        <v/>
      </c>
      <c r="C29" s="8">
        <f>IF($B$32=0,0,B29/$B$32)</f>
        <v/>
      </c>
    </row>
    <row r="30">
      <c r="A30" s="11" t="inlineStr">
        <is>
          <t>Selesai</t>
        </is>
      </c>
      <c r="B30" s="7">
        <f>COUNTIF('Rencana RF'!$G$5:$G$21,"Selesai")</f>
        <v/>
      </c>
      <c r="C30" s="8">
        <f>IF($B$32=0,0,B30/$B$32)</f>
        <v/>
      </c>
    </row>
    <row r="31">
      <c r="A31" s="12" t="inlineStr">
        <is>
          <t>N.A.</t>
        </is>
      </c>
      <c r="B31" s="7">
        <f>COUNTIF('Rencana RF'!$G$5:$G$21,"N.A.")</f>
        <v/>
      </c>
      <c r="C31" s="8">
        <f>IF($B$32=0,0,B31/$B$32)</f>
        <v/>
      </c>
    </row>
    <row r="32">
      <c r="A32" s="13" t="inlineStr">
        <is>
          <t>Total</t>
        </is>
      </c>
      <c r="B32" s="13">
        <f>SUM(B26:B31)</f>
        <v/>
      </c>
    </row>
    <row r="34">
      <c r="A34" s="3" t="inlineStr">
        <is>
          <t>Monitor ATEX</t>
        </is>
      </c>
    </row>
    <row r="35">
      <c r="A35" s="4" t="inlineStr">
        <is>
          <t>Status</t>
        </is>
      </c>
      <c r="B35" s="4" t="inlineStr">
        <is>
          <t>Jumlah</t>
        </is>
      </c>
      <c r="C35" s="4" t="inlineStr">
        <is>
          <t>%</t>
        </is>
      </c>
    </row>
    <row r="36">
      <c r="A36" s="6" t="inlineStr">
        <is>
          <t>Belum</t>
        </is>
      </c>
      <c r="B36" s="7">
        <f>COUNTIF('Monitor ATEX'!$D$5:$D$24,"Belum")</f>
        <v/>
      </c>
      <c r="C36" s="8">
        <f>IF($B$42=0,0,B36/$B$42)</f>
        <v/>
      </c>
    </row>
    <row r="37">
      <c r="A37" s="9" t="inlineStr">
        <is>
          <t>Proses</t>
        </is>
      </c>
      <c r="B37" s="7">
        <f>COUNTIF('Monitor ATEX'!$D$5:$D$24,"Proses")</f>
        <v/>
      </c>
      <c r="C37" s="8">
        <f>IF($B$42=0,0,B37/$B$42)</f>
        <v/>
      </c>
    </row>
    <row r="38">
      <c r="A38" s="9" t="inlineStr">
        <is>
          <t>Sebagian</t>
        </is>
      </c>
      <c r="B38" s="7">
        <f>COUNTIF('Monitor ATEX'!$D$5:$D$24,"Sebagian")</f>
        <v/>
      </c>
      <c r="C38" s="8">
        <f>IF($B$42=0,0,B38/$B$42)</f>
        <v/>
      </c>
    </row>
    <row r="39">
      <c r="A39" s="10" t="inlineStr">
        <is>
          <t>Menunggu</t>
        </is>
      </c>
      <c r="B39" s="7">
        <f>COUNTIF('Monitor ATEX'!$D$5:$D$24,"Menunggu")</f>
        <v/>
      </c>
      <c r="C39" s="8">
        <f>IF($B$42=0,0,B39/$B$42)</f>
        <v/>
      </c>
    </row>
    <row r="40">
      <c r="A40" s="11" t="inlineStr">
        <is>
          <t>Selesai</t>
        </is>
      </c>
      <c r="B40" s="7">
        <f>COUNTIF('Monitor ATEX'!$D$5:$D$24,"Selesai")</f>
        <v/>
      </c>
      <c r="C40" s="8">
        <f>IF($B$42=0,0,B40/$B$42)</f>
        <v/>
      </c>
    </row>
    <row r="41">
      <c r="A41" s="12" t="inlineStr">
        <is>
          <t>N.A.</t>
        </is>
      </c>
      <c r="B41" s="7">
        <f>COUNTIF('Monitor ATEX'!$D$5:$D$24,"N.A.")</f>
        <v/>
      </c>
      <c r="C41" s="8">
        <f>IF($B$42=0,0,B41/$B$42)</f>
        <v/>
      </c>
    </row>
    <row r="42">
      <c r="A42" s="13" t="inlineStr">
        <is>
          <t>Total</t>
        </is>
      </c>
      <c r="B42" s="13">
        <f>SUM(B36:B41)</f>
        <v/>
      </c>
    </row>
  </sheetData>
  <mergeCells count="5">
    <mergeCell ref="E9:L9"/>
    <mergeCell ref="E7:L7"/>
    <mergeCell ref="E6:L6"/>
    <mergeCell ref="E5:L5"/>
    <mergeCell ref="E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0" customWidth="1" min="3" max="3"/>
    <col width="20" customWidth="1" min="4" max="4"/>
    <col width="11" customWidth="1" min="5" max="5"/>
    <col width="42" customWidth="1" min="6" max="6"/>
    <col width="16" customWidth="1" min="7" max="7"/>
    <col width="22" customWidth="1" min="8" max="8"/>
    <col width="12" customWidth="1" min="9" max="9"/>
    <col width="12" customWidth="1" min="10" max="10"/>
  </cols>
  <sheetData>
    <row r="1" ht="24" customHeight="1">
      <c r="A1" s="14" t="inlineStr">
        <is>
          <t>Checklist EMC — Node GLD, Cluster Head, Gateway</t>
        </is>
      </c>
    </row>
    <row r="2" ht="42" customHeight="1">
      <c r="A2" s="15" t="inlineStr">
        <is>
          <t>Status per 28 Oktober 2026, dari pre-scan EN 55032 Kelas A di Telkom Test House (15 Okt 2026). Detail temuan E-1…E-7 ada di Laporan Teknis Pengujian EMC (LGU/GLD/EMC/2026-001).</t>
        </is>
      </c>
    </row>
    <row r="4">
      <c r="A4" s="16" t="inlineStr">
        <is>
          <t>ID</t>
        </is>
      </c>
      <c r="B4" s="16" t="inlineStr">
        <is>
          <t>Kelompok</t>
        </is>
      </c>
      <c r="C4" s="16" t="inlineStr">
        <is>
          <t>Item</t>
        </is>
      </c>
      <c r="D4" s="16" t="inlineStr">
        <is>
          <t>Standar</t>
        </is>
      </c>
      <c r="E4" s="16" t="inlineStr">
        <is>
          <t>Status</t>
        </is>
      </c>
      <c r="F4" s="16" t="inlineStr">
        <is>
          <t>Hasil / catatan</t>
        </is>
      </c>
      <c r="G4" s="16" t="inlineStr">
        <is>
          <t>PIC</t>
        </is>
      </c>
      <c r="H4" s="16" t="inlineStr">
        <is>
          <t>Bukti</t>
        </is>
      </c>
      <c r="I4" s="16" t="inlineStr">
        <is>
          <t>Target</t>
        </is>
      </c>
      <c r="J4" s="16" t="inlineStr">
        <is>
          <t>Update</t>
        </is>
      </c>
    </row>
    <row r="5">
      <c r="A5" s="17" t="inlineStr">
        <is>
          <t>EMC-01</t>
        </is>
      </c>
      <c r="B5" s="17" t="inlineStr">
        <is>
          <t>Pre-scan</t>
        </is>
      </c>
      <c r="C5" s="17" t="inlineStr">
        <is>
          <t>Emisi radiasi GLD 30 MHz–1 GHz (QP)</t>
        </is>
      </c>
      <c r="D5" s="17" t="inlineStr">
        <is>
          <t>EN 55032 Kelas A</t>
        </is>
      </c>
      <c r="E5" s="17" t="inlineStr">
        <is>
          <t>Selesai</t>
        </is>
      </c>
      <c r="F5" s="17" t="inlineStr">
        <is>
          <t>Margin terkecil 0,51 dB @ 117,9 MHz (H, 300 cm) — kritis</t>
        </is>
      </c>
      <c r="G5" s="17" t="inlineStr">
        <is>
          <t>Lab IoT ITB</t>
        </is>
      </c>
      <c r="H5" s="17" t="inlineStr">
        <is>
          <t>Laporan EMC bab 2.3</t>
        </is>
      </c>
      <c r="I5" s="17" t="inlineStr"/>
      <c r="J5" s="17" t="inlineStr"/>
    </row>
    <row r="6">
      <c r="A6" s="17" t="inlineStr">
        <is>
          <t>EMC-02</t>
        </is>
      </c>
      <c r="B6" s="17" t="inlineStr">
        <is>
          <t>Pre-scan</t>
        </is>
      </c>
      <c r="C6" s="17" t="inlineStr">
        <is>
          <t>Emisi radiasi GLD 1–6 GHz (Peak/AV)</t>
        </is>
      </c>
      <c r="D6" s="17" t="inlineStr">
        <is>
          <t>EN 55032 Kelas A</t>
        </is>
      </c>
      <c r="E6" s="17" t="inlineStr">
        <is>
          <t>Selesai</t>
        </is>
      </c>
      <c r="F6" s="17" t="inlineStr">
        <is>
          <t>Margin ≥ 33,97 dB</t>
        </is>
      </c>
      <c r="G6" s="17" t="inlineStr">
        <is>
          <t>Lab IoT ITB</t>
        </is>
      </c>
      <c r="H6" s="17" t="inlineStr">
        <is>
          <t>Laporan EMC bab 2.4</t>
        </is>
      </c>
      <c r="I6" s="17" t="inlineStr"/>
      <c r="J6" s="17" t="inlineStr"/>
    </row>
    <row r="7">
      <c r="A7" s="17" t="inlineStr">
        <is>
          <t>EMC-03</t>
        </is>
      </c>
      <c r="B7" s="17" t="inlineStr">
        <is>
          <t>Pre-scan</t>
        </is>
      </c>
      <c r="C7" s="17" t="inlineStr">
        <is>
          <t>Emisi konduksi GLD sisi AC PSU (L1/L2)</t>
        </is>
      </c>
      <c r="D7" s="17" t="inlineStr">
        <is>
          <t>EN 55032 Kelas A</t>
        </is>
      </c>
      <c r="E7" s="17" t="inlineStr">
        <is>
          <t>Selesai</t>
        </is>
      </c>
      <c r="F7" s="17" t="inlineStr">
        <is>
          <t>Margin ≥ 6,03 dB @ 323,9 kHz</t>
        </is>
      </c>
      <c r="G7" s="17" t="inlineStr">
        <is>
          <t>Lab IoT ITB</t>
        </is>
      </c>
      <c r="H7" s="17" t="inlineStr">
        <is>
          <t>Laporan EMC bab 2.1–2.2</t>
        </is>
      </c>
      <c r="I7" s="17" t="inlineStr"/>
      <c r="J7" s="17" t="inlineStr"/>
    </row>
    <row r="8">
      <c r="A8" s="17" t="inlineStr">
        <is>
          <t>EMC-04</t>
        </is>
      </c>
      <c r="B8" s="17" t="inlineStr">
        <is>
          <t>Pre-scan</t>
        </is>
      </c>
      <c r="C8" s="17" t="inlineStr">
        <is>
          <t>Emisi radiasi CH besar 30 MHz–6 GHz</t>
        </is>
      </c>
      <c r="D8" s="17" t="inlineStr">
        <is>
          <t>EN 55032 Kelas A</t>
        </is>
      </c>
      <c r="E8" s="17" t="inlineStr">
        <is>
          <t>Selesai</t>
        </is>
      </c>
      <c r="F8" s="17" t="inlineStr">
        <is>
          <t>Margin 3,28 dB @ 978,9 MHz; 5,56 dB @ 1,8425 GHz (harmonik)</t>
        </is>
      </c>
      <c r="G8" s="17" t="inlineStr">
        <is>
          <t>Lab IoT ITB</t>
        </is>
      </c>
      <c r="H8" s="17" t="inlineStr">
        <is>
          <t>Laporan EMC bab 3.2–3.3</t>
        </is>
      </c>
      <c r="I8" s="17" t="inlineStr"/>
      <c r="J8" s="17" t="inlineStr"/>
    </row>
    <row r="9">
      <c r="A9" s="17" t="inlineStr">
        <is>
          <t>EMC-05</t>
        </is>
      </c>
      <c r="B9" s="17" t="inlineStr">
        <is>
          <t>Pre-scan</t>
        </is>
      </c>
      <c r="C9" s="17" t="inlineStr">
        <is>
          <t>Emisi konduksi port DC CH besar</t>
        </is>
      </c>
      <c r="D9" s="17" t="inlineStr">
        <is>
          <t>EN 55032 Kelas A</t>
        </is>
      </c>
      <c r="E9" s="17" t="inlineStr">
        <is>
          <t>Selesai</t>
        </is>
      </c>
      <c r="F9" s="17" t="inlineStr">
        <is>
          <t>Margin ≥ 42,41 dB</t>
        </is>
      </c>
      <c r="G9" s="17" t="inlineStr">
        <is>
          <t>Lab IoT ITB</t>
        </is>
      </c>
      <c r="H9" s="17" t="inlineStr">
        <is>
          <t>Laporan EMC bab 3.1</t>
        </is>
      </c>
      <c r="I9" s="17" t="inlineStr"/>
      <c r="J9" s="17" t="inlineStr"/>
    </row>
    <row r="10">
      <c r="A10" s="17" t="inlineStr">
        <is>
          <t>EMC-06</t>
        </is>
      </c>
      <c r="B10" s="17" t="inlineStr">
        <is>
          <t>Pre-scan</t>
        </is>
      </c>
      <c r="C10" s="17" t="inlineStr">
        <is>
          <t>Emisi konduksi port 24 VDC GLD (AAN/LISN DC)</t>
        </is>
      </c>
      <c r="D10" s="17" t="inlineStr">
        <is>
          <t>EN 55032 Kelas A</t>
        </is>
      </c>
      <c r="E10" s="17" t="inlineStr">
        <is>
          <t>Belum</t>
        </is>
      </c>
      <c r="F10" s="17" t="inlineStr">
        <is>
          <t>Batas produk = masukan 24 VDC saja (temuan E-4)</t>
        </is>
      </c>
      <c r="G10" s="17" t="inlineStr">
        <is>
          <t>Lab IoT ITB</t>
        </is>
      </c>
      <c r="H10" s="17" t="inlineStr"/>
      <c r="I10" s="17" t="inlineStr"/>
      <c r="J10" s="17" t="inlineStr"/>
    </row>
    <row r="11">
      <c r="A11" s="17" t="inlineStr">
        <is>
          <t>EMC-07</t>
        </is>
      </c>
      <c r="B11" s="17" t="inlineStr">
        <is>
          <t>Mitigasi</t>
        </is>
      </c>
      <c r="C11" s="17" t="inlineStr">
        <is>
          <t>Mitigasi &amp; re-scan GLD 117–127 MHz, target margin ≥ 6 dB</t>
        </is>
      </c>
      <c r="D11" s="17" t="inlineStr">
        <is>
          <t>EN 55032 Kelas A</t>
        </is>
      </c>
      <c r="E11" s="17" t="inlineStr">
        <is>
          <t>Belum</t>
        </is>
      </c>
      <c r="F11" s="17" t="inlineStr">
        <is>
          <t>Ferit kabel daya/fan, filter input, grounding (E-1)</t>
        </is>
      </c>
      <c r="G11" s="17" t="inlineStr">
        <is>
          <t>Lab IoT ITB</t>
        </is>
      </c>
      <c r="H11" s="17" t="inlineStr"/>
      <c r="I11" s="17" t="inlineStr"/>
      <c r="J11" s="17" t="inlineStr"/>
    </row>
    <row r="12">
      <c r="A12" s="17" t="inlineStr">
        <is>
          <t>EMC-08</t>
        </is>
      </c>
      <c r="B12" s="17" t="inlineStr">
        <is>
          <t>Konfirmasi</t>
        </is>
      </c>
      <c r="C12" s="17" t="inlineStr">
        <is>
          <t>Exclusion band LoRa / ulang ukur mode idle</t>
        </is>
      </c>
      <c r="D12" s="17" t="inlineStr">
        <is>
          <t>EN 301 489-1/-3</t>
        </is>
      </c>
      <c r="E12" s="17" t="inlineStr">
        <is>
          <t>Belum</t>
        </is>
      </c>
      <c r="F12" s="17" t="inlineStr">
        <is>
          <t>Konfirmasi ke Telkom Test House (E-2)</t>
        </is>
      </c>
      <c r="G12" s="17" t="inlineStr">
        <is>
          <t>LGU</t>
        </is>
      </c>
      <c r="H12" s="17" t="inlineStr"/>
      <c r="I12" s="17" t="inlineStr"/>
      <c r="J12" s="17" t="inlineStr"/>
    </row>
    <row r="13">
      <c r="A13" s="17" t="inlineStr">
        <is>
          <t>EMC-09</t>
        </is>
      </c>
      <c r="B13" s="17" t="inlineStr">
        <is>
          <t>Pre-scan</t>
        </is>
      </c>
      <c r="C13" s="17" t="inlineStr">
        <is>
          <t>Pre-scan Gateway (adaptor 5 VDC + WiFi)</t>
        </is>
      </c>
      <c r="D13" s="17" t="inlineStr">
        <is>
          <t>EN 55032</t>
        </is>
      </c>
      <c r="E13" s="17" t="inlineStr">
        <is>
          <t>Belum</t>
        </is>
      </c>
      <c r="F13" s="17" t="inlineStr">
        <is>
          <t>Perangkat di gedung</t>
        </is>
      </c>
      <c r="G13" s="17" t="inlineStr">
        <is>
          <t>Lab IoT ITB</t>
        </is>
      </c>
      <c r="H13" s="17" t="inlineStr"/>
      <c r="I13" s="17" t="inlineStr"/>
      <c r="J13" s="17" t="inlineStr"/>
    </row>
    <row r="14">
      <c r="A14" s="17" t="inlineStr">
        <is>
          <t>EMC-10</t>
        </is>
      </c>
      <c r="B14" s="17" t="inlineStr">
        <is>
          <t>Pre-scan</t>
        </is>
      </c>
      <c r="C14" s="17" t="inlineStr">
        <is>
          <t>Pre-scan CH kecil</t>
        </is>
      </c>
      <c r="D14" s="17" t="inlineStr">
        <is>
          <t>EN 55032</t>
        </is>
      </c>
      <c r="E14" s="17" t="inlineStr">
        <is>
          <t>Belum</t>
        </is>
      </c>
      <c r="F14" s="17" t="inlineStr"/>
      <c r="G14" s="17" t="inlineStr">
        <is>
          <t>Lab IoT ITB</t>
        </is>
      </c>
      <c r="H14" s="17" t="inlineStr"/>
      <c r="I14" s="17" t="inlineStr"/>
      <c r="J14" s="17" t="inlineStr"/>
    </row>
    <row r="15">
      <c r="A15" s="17" t="inlineStr">
        <is>
          <t>EMC-11</t>
        </is>
      </c>
      <c r="B15" s="17" t="inlineStr">
        <is>
          <t>Imunitas</t>
        </is>
      </c>
      <c r="C15" s="17" t="inlineStr">
        <is>
          <t>ESD</t>
        </is>
      </c>
      <c r="D15" s="17" t="inlineStr">
        <is>
          <t>IEC 61000-4-2</t>
        </is>
      </c>
      <c r="E15" s="17" t="inlineStr">
        <is>
          <t>Belum</t>
        </is>
      </c>
      <c r="F15" s="17" t="inlineStr">
        <is>
          <t>Kontak/udara pada enclosure &amp; konektor</t>
        </is>
      </c>
      <c r="G15" s="17" t="inlineStr">
        <is>
          <t>LGU</t>
        </is>
      </c>
      <c r="H15" s="17" t="inlineStr"/>
      <c r="I15" s="17" t="inlineStr"/>
      <c r="J15" s="17" t="inlineStr"/>
    </row>
    <row r="16">
      <c r="A16" s="17" t="inlineStr">
        <is>
          <t>EMC-12</t>
        </is>
      </c>
      <c r="B16" s="17" t="inlineStr">
        <is>
          <t>Imunitas</t>
        </is>
      </c>
      <c r="C16" s="17" t="inlineStr">
        <is>
          <t>Medan RF radiasi</t>
        </is>
      </c>
      <c r="D16" s="17" t="inlineStr">
        <is>
          <t>IEC 61000-4-3</t>
        </is>
      </c>
      <c r="E16" s="17" t="inlineStr">
        <is>
          <t>Sebagian</t>
        </is>
      </c>
      <c r="F16" s="17" t="inlineStr">
        <is>
          <t>Hanya uji interferensi co-channel LoRa 17 Sep (informal)</t>
        </is>
      </c>
      <c r="G16" s="17" t="inlineStr">
        <is>
          <t>LGU</t>
        </is>
      </c>
      <c r="H16" s="17" t="inlineStr">
        <is>
          <t>Laporan perkembangan 17 Sep</t>
        </is>
      </c>
      <c r="I16" s="17" t="inlineStr"/>
      <c r="J16" s="17" t="inlineStr"/>
    </row>
    <row r="17">
      <c r="A17" s="17" t="inlineStr">
        <is>
          <t>EMC-13</t>
        </is>
      </c>
      <c r="B17" s="17" t="inlineStr">
        <is>
          <t>Imunitas</t>
        </is>
      </c>
      <c r="C17" s="17" t="inlineStr">
        <is>
          <t>EFT/burst &amp; surge port 24 VDC</t>
        </is>
      </c>
      <c r="D17" s="17" t="inlineStr">
        <is>
          <t>IEC 61000-4-4 / -4-5</t>
        </is>
      </c>
      <c r="E17" s="17" t="inlineStr">
        <is>
          <t>Belum</t>
        </is>
      </c>
      <c r="F17" s="17" t="inlineStr"/>
      <c r="G17" s="17" t="inlineStr">
        <is>
          <t>LGU</t>
        </is>
      </c>
      <c r="H17" s="17" t="inlineStr"/>
      <c r="I17" s="17" t="inlineStr"/>
      <c r="J17" s="17" t="inlineStr"/>
    </row>
    <row r="18">
      <c r="A18" s="17" t="inlineStr">
        <is>
          <t>EMC-14</t>
        </is>
      </c>
      <c r="B18" s="17" t="inlineStr">
        <is>
          <t>Imunitas</t>
        </is>
      </c>
      <c r="C18" s="17" t="inlineStr">
        <is>
          <t>RF konduksi &amp; dip/interupsi DC</t>
        </is>
      </c>
      <c r="D18" s="17" t="inlineStr">
        <is>
          <t>IEC 61000-4-6 / -4-29</t>
        </is>
      </c>
      <c r="E18" s="17" t="inlineStr">
        <is>
          <t>Belum</t>
        </is>
      </c>
      <c r="F18" s="17" t="inlineStr"/>
      <c r="G18" s="17" t="inlineStr">
        <is>
          <t>LGU</t>
        </is>
      </c>
      <c r="H18" s="17" t="inlineStr"/>
      <c r="I18" s="17" t="inlineStr"/>
      <c r="J18" s="17" t="inlineStr"/>
    </row>
    <row r="19">
      <c r="A19" s="17" t="inlineStr">
        <is>
          <t>EMC-15</t>
        </is>
      </c>
      <c r="B19" s="17" t="inlineStr">
        <is>
          <t>Persiapan</t>
        </is>
      </c>
      <c r="C19" s="17" t="inlineStr">
        <is>
          <t>Kriteria kinerja saat uji imunitas (tanpa alarm palsu / alarm hilang)</t>
        </is>
      </c>
      <c r="D19" s="17" t="inlineStr">
        <is>
          <t>EN 61000-6-2 / EN 50270</t>
        </is>
      </c>
      <c r="E19" s="17" t="inlineStr">
        <is>
          <t>Belum</t>
        </is>
      </c>
      <c r="F19" s="17" t="inlineStr">
        <is>
          <t>Ditetapkan sebelum uji</t>
        </is>
      </c>
      <c r="G19" s="17" t="inlineStr">
        <is>
          <t>LGU · Lab IoT ITB</t>
        </is>
      </c>
      <c r="H19" s="17" t="inlineStr"/>
      <c r="I19" s="17" t="inlineStr"/>
      <c r="J19" s="17" t="inlineStr"/>
    </row>
    <row r="20">
      <c r="A20" s="17" t="inlineStr">
        <is>
          <t>EMC-16</t>
        </is>
      </c>
      <c r="B20" s="17" t="inlineStr">
        <is>
          <t>Persiapan</t>
        </is>
      </c>
      <c r="C20" s="17" t="inlineStr">
        <is>
          <t>Identitas EUT tercatat (S/N, firmware, mode, kabel, PSU)</t>
        </is>
      </c>
      <c r="D20" s="17" t="inlineStr">
        <is>
          <t>—</t>
        </is>
      </c>
      <c r="E20" s="17" t="inlineStr">
        <is>
          <t>Belum</t>
        </is>
      </c>
      <c r="F20" s="17" t="inlineStr">
        <is>
          <t>Kekurangan draf (E-6)</t>
        </is>
      </c>
      <c r="G20" s="17" t="inlineStr">
        <is>
          <t>Lab IoT ITB</t>
        </is>
      </c>
      <c r="H20" s="17" t="inlineStr"/>
      <c r="I20" s="17" t="inlineStr"/>
      <c r="J20" s="17" t="inlineStr"/>
    </row>
    <row r="21">
      <c r="A21" s="17" t="inlineStr">
        <is>
          <t>EMC-17</t>
        </is>
      </c>
      <c r="B21" s="17" t="inlineStr">
        <is>
          <t>Persiapan</t>
        </is>
      </c>
      <c r="C21" s="17" t="inlineStr">
        <is>
          <t>Pilih lab terakreditasi &amp; standar uji resmi</t>
        </is>
      </c>
      <c r="D21" s="17" t="inlineStr">
        <is>
          <t>—</t>
        </is>
      </c>
      <c r="E21" s="17" t="inlineStr">
        <is>
          <t>Belum</t>
        </is>
      </c>
      <c r="F21" s="17" t="inlineStr"/>
      <c r="G21" s="17" t="inlineStr">
        <is>
          <t>LGU</t>
        </is>
      </c>
      <c r="H21" s="17" t="inlineStr"/>
      <c r="I21" s="17" t="inlineStr"/>
      <c r="J21" s="17" t="inlineStr"/>
    </row>
    <row r="22">
      <c r="A22" s="17" t="inlineStr">
        <is>
          <t>EMC-18</t>
        </is>
      </c>
      <c r="B22" s="17" t="inlineStr">
        <is>
          <t>Resmi</t>
        </is>
      </c>
      <c r="C22" s="17" t="inlineStr">
        <is>
          <t>Laporan uji EMC resmi</t>
        </is>
      </c>
      <c r="D22" s="17" t="inlineStr">
        <is>
          <t>—</t>
        </is>
      </c>
      <c r="E22" s="17" t="inlineStr">
        <is>
          <t>Belum</t>
        </is>
      </c>
      <c r="F22" s="17" t="inlineStr"/>
      <c r="G22" s="17" t="inlineStr">
        <is>
          <t>Lab</t>
        </is>
      </c>
      <c r="H22" s="17" t="inlineStr"/>
      <c r="I22" s="17" t="inlineStr"/>
      <c r="J22" s="17" t="inlineStr"/>
    </row>
  </sheetData>
  <autoFilter ref="A4:J22"/>
  <mergeCells count="2">
    <mergeCell ref="A1:J1"/>
    <mergeCell ref="A2:J2"/>
  </mergeCells>
  <conditionalFormatting sqref="E5:E72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1">
      <formula>"Sebagian"</formula>
    </cfRule>
    <cfRule type="cellIs" priority="4" operator="equal" dxfId="2">
      <formula>"Menunggu"</formula>
    </cfRule>
    <cfRule type="cellIs" priority="5" operator="equal" dxfId="3">
      <formula>"Selesai"</formula>
    </cfRule>
    <cfRule type="cellIs" priority="6" operator="equal" dxfId="4">
      <formula>"N.A."</formula>
    </cfRule>
  </conditionalFormatting>
  <dataValidations count="1">
    <dataValidation sqref="E5:E72" showDropDown="0" showInputMessage="0" showErrorMessage="0" allowBlank="1" type="list">
      <formula1>"Belum,Proses,Sebagian,Menunggu,Selesai,N.A."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20" customWidth="1" min="4" max="4"/>
    <col width="46" customWidth="1" min="5" max="5"/>
    <col width="28" customWidth="1" min="6" max="6"/>
    <col width="11" customWidth="1" min="7" max="7"/>
    <col width="18" customWidth="1" min="8" max="8"/>
    <col width="12" customWidth="1" min="9" max="9"/>
    <col width="24" customWidth="1" min="10" max="10"/>
  </cols>
  <sheetData>
    <row r="1" ht="24" customHeight="1">
      <c r="A1" s="14" t="inlineStr">
        <is>
          <t>Rencana Uji IP (Ingress Protection) — Node GLD</t>
        </is>
      </c>
    </row>
    <row r="2" ht="42" customHeight="1">
      <c r="A2" s="15" t="inlineStr">
        <is>
          <t>Target IP66 menurut IEC 60529, sejalan dengan marking Ex usulan. Urutan: keputusan desain → pra-uji internal → uji resmi di lab Ex (uji termal &amp; impak lebih dulu, lalu IP). Kolom Target diisi tim.</t>
        </is>
      </c>
    </row>
    <row r="4">
      <c r="A4" s="16" t="inlineStr">
        <is>
          <t>ID</t>
        </is>
      </c>
      <c r="B4" s="16" t="inlineStr">
        <is>
          <t>Tahap</t>
        </is>
      </c>
      <c r="C4" s="16" t="inlineStr">
        <is>
          <t>Kegiatan</t>
        </is>
      </c>
      <c r="D4" s="16" t="inlineStr">
        <is>
          <t>Standar / klausul</t>
        </is>
      </c>
      <c r="E4" s="16" t="inlineStr">
        <is>
          <t>Metode / parameter</t>
        </is>
      </c>
      <c r="F4" s="16" t="inlineStr">
        <is>
          <t>Kriteria lulus</t>
        </is>
      </c>
      <c r="G4" s="16" t="inlineStr">
        <is>
          <t>Status</t>
        </is>
      </c>
      <c r="H4" s="16" t="inlineStr">
        <is>
          <t>PIC</t>
        </is>
      </c>
      <c r="I4" s="16" t="inlineStr">
        <is>
          <t>Target</t>
        </is>
      </c>
      <c r="J4" s="16" t="inlineStr">
        <is>
          <t>Catatan</t>
        </is>
      </c>
    </row>
    <row r="5">
      <c r="A5" s="17" t="inlineStr">
        <is>
          <t>IP-01</t>
        </is>
      </c>
      <c r="B5" s="17" t="inlineStr">
        <is>
          <t>Target</t>
        </is>
      </c>
      <c r="C5" s="17" t="inlineStr">
        <is>
          <t>Tetapkan target IP</t>
        </is>
      </c>
      <c r="D5" s="17" t="inlineStr">
        <is>
          <t>IEC 60529</t>
        </is>
      </c>
      <c r="E5" s="17" t="inlineStr">
        <is>
          <t>IP66 (target di dossier &amp; nameplate usulan); IP67 opsional (proposal)</t>
        </is>
      </c>
      <c r="F5" s="17" t="inlineStr">
        <is>
          <t>Target tertulis, belum diuji</t>
        </is>
      </c>
      <c r="G5" s="17" t="inlineStr">
        <is>
          <t>Selesai</t>
        </is>
      </c>
      <c r="H5" s="17" t="inlineStr">
        <is>
          <t>LGU · PT Galaksi</t>
        </is>
      </c>
      <c r="I5" s="17" t="inlineStr"/>
      <c r="J5" s="17" t="inlineStr"/>
    </row>
    <row r="6">
      <c r="A6" s="17" t="inlineStr">
        <is>
          <t>IP-02</t>
        </is>
      </c>
      <c r="B6" s="17" t="inlineStr">
        <is>
          <t>Desain</t>
        </is>
      </c>
      <c r="C6" s="17" t="inlineStr">
        <is>
          <t>Keputusan inlet gas (mesh depan + fan) terhadap IP66</t>
        </is>
      </c>
      <c r="D6" s="17" t="inlineStr">
        <is>
          <t>IEC 60529 §14 / IEC 60079-0</t>
        </is>
      </c>
      <c r="E6" s="17" t="inlineStr">
        <is>
          <t>Inlet terbuka berpotensi kemasukan air saat uji semprot. Opsi: membran hidrofobik (PTFE), pelindung semprot (weather guard), atau ruang sensor terpisah</t>
        </is>
      </c>
      <c r="F6" s="17" t="inlineStr">
        <is>
          <t>Keputusan desain tertulis + gambar</t>
        </is>
      </c>
      <c r="G6" s="17" t="inlineStr">
        <is>
          <t>Belum</t>
        </is>
      </c>
      <c r="H6" s="17" t="inlineStr">
        <is>
          <t>PT Galaksi · LGU</t>
        </is>
      </c>
      <c r="I6" s="17" t="inlineStr"/>
      <c r="J6" s="17" t="inlineStr"/>
    </row>
    <row r="7">
      <c r="A7" s="17" t="inlineStr">
        <is>
          <t>IP-03</t>
        </is>
      </c>
      <c r="B7" s="17" t="inlineStr">
        <is>
          <t>Desain</t>
        </is>
      </c>
      <c r="C7" s="17" t="inlineStr">
        <is>
          <t>Rating komponen penutup</t>
        </is>
      </c>
      <c r="D7" s="17" t="inlineStr">
        <is>
          <t>IEC 60529</t>
        </is>
      </c>
      <c r="E7" s="17" t="inlineStr">
        <is>
          <t>Cable gland M20×1,5 Ex d berating ≥ IP66; blanking plug; seal bulkhead SMA antena; O-ring tutup (tali 2,70 mm, OD ≈ 91 mm)</t>
        </is>
      </c>
      <c r="F7" s="17" t="inlineStr">
        <is>
          <t>Datasheet/sertifikat tiap komponen</t>
        </is>
      </c>
      <c r="G7" s="17" t="inlineStr">
        <is>
          <t>Belum</t>
        </is>
      </c>
      <c r="H7" s="17" t="inlineStr">
        <is>
          <t>PT Galaksi</t>
        </is>
      </c>
      <c r="I7" s="17" t="inlineStr"/>
      <c r="J7" s="17" t="inlineStr"/>
    </row>
    <row r="8">
      <c r="A8" s="17" t="inlineStr">
        <is>
          <t>IP-04</t>
        </is>
      </c>
      <c r="B8" s="17" t="inlineStr">
        <is>
          <t>Sampel</t>
        </is>
      </c>
      <c r="C8" s="17" t="inlineStr">
        <is>
          <t>Siapkan sampel konfigurasi produksi</t>
        </is>
      </c>
      <c r="D8" s="17" t="inlineStr">
        <is>
          <t>—</t>
        </is>
      </c>
      <c r="E8" s="17" t="inlineStr">
        <is>
          <t>Gland Ex d (bukan gland polimer prototipe), torsi tutup &amp; gland tercatat</t>
        </is>
      </c>
      <c r="F8" s="17" t="inlineStr">
        <is>
          <t>Sampel sesuai gambar</t>
        </is>
      </c>
      <c r="G8" s="17" t="inlineStr">
        <is>
          <t>Belum</t>
        </is>
      </c>
      <c r="H8" s="17" t="inlineStr">
        <is>
          <t>PT Galaksi · LGU</t>
        </is>
      </c>
      <c r="I8" s="17" t="inlineStr"/>
      <c r="J8" s="17" t="inlineStr"/>
    </row>
    <row r="9">
      <c r="A9" s="17" t="inlineStr">
        <is>
          <t>IP-05</t>
        </is>
      </c>
      <c r="B9" s="17" t="inlineStr">
        <is>
          <t>Pra-uji</t>
        </is>
      </c>
      <c r="C9" s="17" t="inlineStr">
        <is>
          <t>Pra-uji internal semprot air (setara IPX6)</t>
        </is>
      </c>
      <c r="D9" s="17" t="inlineStr">
        <is>
          <t>IEC 60529 §14.2.6</t>
        </is>
      </c>
      <c r="E9" s="17" t="inlineStr">
        <is>
          <t>Nozzle Ø12,5 mm, 100 L/min ± 5 %, jarak 2,5–3 m, 1 menit/m² (min. 3 menit) dari semua arah</t>
        </is>
      </c>
      <c r="F9" s="17" t="inlineStr">
        <is>
          <t>Tidak ada air di bagian elektronik; unit berfungsi normal</t>
        </is>
      </c>
      <c r="G9" s="17" t="inlineStr">
        <is>
          <t>Belum</t>
        </is>
      </c>
      <c r="H9" s="17" t="inlineStr">
        <is>
          <t>Lab IoT ITB</t>
        </is>
      </c>
      <c r="I9" s="17" t="inlineStr"/>
      <c r="J9" s="17" t="inlineStr"/>
    </row>
    <row r="10">
      <c r="A10" s="17" t="inlineStr">
        <is>
          <t>IP-06</t>
        </is>
      </c>
      <c r="B10" s="17" t="inlineStr">
        <is>
          <t>Pra-uji</t>
        </is>
      </c>
      <c r="C10" s="17" t="inlineStr">
        <is>
          <t>Inspeksi seal pasca pra-uji</t>
        </is>
      </c>
      <c r="D10" s="17" t="inlineStr">
        <is>
          <t>—</t>
        </is>
      </c>
      <c r="E10" s="17" t="inlineStr">
        <is>
          <t>Buka unit, kertas indikator air, foto bagian dalam</t>
        </is>
      </c>
      <c r="F10" s="17" t="inlineStr">
        <is>
          <t>Bukti foto &amp; catatan</t>
        </is>
      </c>
      <c r="G10" s="17" t="inlineStr">
        <is>
          <t>Belum</t>
        </is>
      </c>
      <c r="H10" s="17" t="inlineStr">
        <is>
          <t>Lab IoT ITB</t>
        </is>
      </c>
      <c r="I10" s="17" t="inlineStr"/>
      <c r="J10" s="17" t="inlineStr"/>
    </row>
    <row r="11">
      <c r="A11" s="17" t="inlineStr">
        <is>
          <t>IP-07</t>
        </is>
      </c>
      <c r="B11" s="17" t="inlineStr">
        <is>
          <t>Uji resmi</t>
        </is>
      </c>
      <c r="C11" s="17" t="inlineStr">
        <is>
          <t>Uji pendahuluan Ex: ketahanan termal bagian non-logam &amp; uji impak</t>
        </is>
      </c>
      <c r="D11" s="17" t="inlineStr">
        <is>
          <t>IEC 60079-0 §26</t>
        </is>
      </c>
      <c r="E11" s="17" t="inlineStr">
        <is>
          <t>Panas/dingin pada gasket &amp; bagian non-logam; impak sesuai Grup II; dilakukan SEBELUM uji IP</t>
        </is>
      </c>
      <c r="F11" s="17" t="inlineStr">
        <is>
          <t>Tidak ada kerusakan yang menurunkan proteksi</t>
        </is>
      </c>
      <c r="G11" s="17" t="inlineStr">
        <is>
          <t>Belum</t>
        </is>
      </c>
      <c r="H11" s="17" t="inlineStr">
        <is>
          <t>Lab ATEX (via GTS)</t>
        </is>
      </c>
      <c r="I11" s="17" t="inlineStr"/>
      <c r="J11" s="17" t="inlineStr"/>
    </row>
    <row r="12">
      <c r="A12" s="17" t="inlineStr">
        <is>
          <t>IP-08</t>
        </is>
      </c>
      <c r="B12" s="17" t="inlineStr">
        <is>
          <t>Uji resmi</t>
        </is>
      </c>
      <c r="C12" s="17" t="inlineStr">
        <is>
          <t>Uji debu IP6X</t>
        </is>
      </c>
      <c r="D12" s="17" t="inlineStr">
        <is>
          <t>IEC 60529 §13.4</t>
        </is>
      </c>
      <c r="E12" s="17" t="inlineStr">
        <is>
          <t>Kategori 1 (tekanan negatif 2 kPa), bubuk talk, maks. 8 jam / 80 volume udara</t>
        </is>
      </c>
      <c r="F12" s="17" t="inlineStr">
        <is>
          <t>Tidak ada debu masuk</t>
        </is>
      </c>
      <c r="G12" s="17" t="inlineStr">
        <is>
          <t>Belum</t>
        </is>
      </c>
      <c r="H12" s="17" t="inlineStr">
        <is>
          <t>Lab ATEX (via GTS)</t>
        </is>
      </c>
      <c r="I12" s="17" t="inlineStr"/>
      <c r="J12" s="17" t="inlineStr"/>
    </row>
    <row r="13">
      <c r="A13" s="17" t="inlineStr">
        <is>
          <t>IP-09</t>
        </is>
      </c>
      <c r="B13" s="17" t="inlineStr">
        <is>
          <t>Uji resmi</t>
        </is>
      </c>
      <c r="C13" s="17" t="inlineStr">
        <is>
          <t>Uji semprot air IPX6</t>
        </is>
      </c>
      <c r="D13" s="17" t="inlineStr">
        <is>
          <t>IEC 60529 §14.2.6</t>
        </is>
      </c>
      <c r="E13" s="17" t="inlineStr">
        <is>
          <t>Seperti IP-05</t>
        </is>
      </c>
      <c r="F13" s="17" t="inlineStr">
        <is>
          <t>Air yang masuk tidak mengganggu operasi &amp; keselamatan</t>
        </is>
      </c>
      <c r="G13" s="17" t="inlineStr">
        <is>
          <t>Belum</t>
        </is>
      </c>
      <c r="H13" s="17" t="inlineStr">
        <is>
          <t>Lab ATEX (via GTS)</t>
        </is>
      </c>
      <c r="I13" s="17" t="inlineStr"/>
      <c r="J13" s="17" t="inlineStr"/>
    </row>
    <row r="14">
      <c r="A14" s="17" t="inlineStr">
        <is>
          <t>IP-10</t>
        </is>
      </c>
      <c r="B14" s="17" t="inlineStr">
        <is>
          <t>Uji resmi</t>
        </is>
      </c>
      <c r="C14" s="17" t="inlineStr">
        <is>
          <t>Uji fungsi setelah uji IP</t>
        </is>
      </c>
      <c r="D14" s="17" t="inlineStr">
        <is>
          <t>—</t>
        </is>
      </c>
      <c r="E14" s="17" t="inlineStr">
        <is>
          <t>Pembacaan sensor, kirim LoRa, alarm</t>
        </is>
      </c>
      <c r="F14" s="17" t="inlineStr">
        <is>
          <t>Fungsi normal</t>
        </is>
      </c>
      <c r="G14" s="17" t="inlineStr">
        <is>
          <t>Belum</t>
        </is>
      </c>
      <c r="H14" s="17" t="inlineStr">
        <is>
          <t>Lab · LGU</t>
        </is>
      </c>
      <c r="I14" s="17" t="inlineStr"/>
      <c r="J14" s="17" t="inlineStr"/>
    </row>
    <row r="15">
      <c r="A15" s="17" t="inlineStr">
        <is>
          <t>IP-11</t>
        </is>
      </c>
      <c r="B15" s="17" t="inlineStr">
        <is>
          <t>Koordinasi</t>
        </is>
      </c>
      <c r="C15" s="17" t="inlineStr">
        <is>
          <t>Konfirmasi ke GTS: uji IP66 masuk paket uji ATEX atau terpisah</t>
        </is>
      </c>
      <c r="D15" s="17" t="inlineStr">
        <is>
          <t>—</t>
        </is>
      </c>
      <c r="E15" s="17" t="inlineStr">
        <is>
          <t>Karena IP66 dicantumkan pada marking Ex, uji IP biasanya dilakukan lab Ex dalam urutan uji tipe</t>
        </is>
      </c>
      <c r="F15" s="17" t="inlineStr">
        <is>
          <t>Jawaban tertulis GTS</t>
        </is>
      </c>
      <c r="G15" s="17" t="inlineStr">
        <is>
          <t>Belum</t>
        </is>
      </c>
      <c r="H15" s="17" t="inlineStr">
        <is>
          <t>LGU</t>
        </is>
      </c>
      <c r="I15" s="17" t="inlineStr"/>
      <c r="J15" s="17" t="inlineStr"/>
    </row>
    <row r="16">
      <c r="A16" s="17" t="inlineStr">
        <is>
          <t>IP-12</t>
        </is>
      </c>
      <c r="B16" s="17" t="inlineStr">
        <is>
          <t>Dokumen</t>
        </is>
      </c>
      <c r="C16" s="17" t="inlineStr">
        <is>
          <t>Laporan uji IP &amp; pembaruan dossier/nameplate</t>
        </is>
      </c>
      <c r="D16" s="17" t="inlineStr">
        <is>
          <t>—</t>
        </is>
      </c>
      <c r="E16" s="17" t="inlineStr"/>
      <c r="F16" s="17" t="inlineStr">
        <is>
          <t>Laporan resmi</t>
        </is>
      </c>
      <c r="G16" s="17" t="inlineStr">
        <is>
          <t>Belum</t>
        </is>
      </c>
      <c r="H16" s="17" t="inlineStr">
        <is>
          <t>LGU</t>
        </is>
      </c>
      <c r="I16" s="17" t="inlineStr"/>
      <c r="J16" s="17" t="inlineStr"/>
    </row>
  </sheetData>
  <autoFilter ref="A4:J16"/>
  <mergeCells count="2">
    <mergeCell ref="A1:J1"/>
    <mergeCell ref="A2:J2"/>
  </mergeCells>
  <conditionalFormatting sqref="G5:G66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1">
      <formula>"Sebagian"</formula>
    </cfRule>
    <cfRule type="cellIs" priority="4" operator="equal" dxfId="2">
      <formula>"Menunggu"</formula>
    </cfRule>
    <cfRule type="cellIs" priority="5" operator="equal" dxfId="3">
      <formula>"Selesai"</formula>
    </cfRule>
    <cfRule type="cellIs" priority="6" operator="equal" dxfId="4">
      <formula>"N.A."</formula>
    </cfRule>
  </conditionalFormatting>
  <dataValidations count="1">
    <dataValidation sqref="G5:G66" showDropDown="0" showInputMessage="0" showErrorMessage="0" allowBlank="1" type="list">
      <formula1>"Belum,Proses,Sebagian,Menunggu,Selesai,N.A."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22" customWidth="1" min="4" max="4"/>
    <col width="48" customWidth="1" min="5" max="5"/>
    <col width="24" customWidth="1" min="6" max="6"/>
    <col width="11" customWidth="1" min="7" max="7"/>
    <col width="16" customWidth="1" min="8" max="8"/>
    <col width="12" customWidth="1" min="9" max="9"/>
    <col width="24" customWidth="1" min="10" max="10"/>
  </cols>
  <sheetData>
    <row r="1" ht="24" customHeight="1">
      <c r="A1" s="14" t="inlineStr">
        <is>
          <t>Rencana Uji &amp; Sertifikasi RF (LoRa 920–923 MHz)</t>
        </is>
      </c>
    </row>
    <row r="2" ht="42" customHeight="1">
      <c r="A2" s="15" t="inlineStr">
        <is>
          <t>Sertifikasi radio utama: SDPPI (Indonesia). Angka batas regulasi wajib diverifikasi ke peraturan terbaru sebelum dipakai. RF-03/RF-04 berpotensi mengubah setelan daya pancar &amp; jangkauan.</t>
        </is>
      </c>
    </row>
    <row r="4">
      <c r="A4" s="16" t="inlineStr">
        <is>
          <t>ID</t>
        </is>
      </c>
      <c r="B4" s="16" t="inlineStr">
        <is>
          <t>Tahap</t>
        </is>
      </c>
      <c r="C4" s="16" t="inlineStr">
        <is>
          <t>Kegiatan</t>
        </is>
      </c>
      <c r="D4" s="16" t="inlineStr">
        <is>
          <t>Standar / klausul</t>
        </is>
      </c>
      <c r="E4" s="16" t="inlineStr">
        <is>
          <t>Metode / parameter</t>
        </is>
      </c>
      <c r="F4" s="16" t="inlineStr">
        <is>
          <t>Kriteria lulus</t>
        </is>
      </c>
      <c r="G4" s="16" t="inlineStr">
        <is>
          <t>Status</t>
        </is>
      </c>
      <c r="H4" s="16" t="inlineStr">
        <is>
          <t>PIC</t>
        </is>
      </c>
      <c r="I4" s="16" t="inlineStr">
        <is>
          <t>Target</t>
        </is>
      </c>
      <c r="J4" s="16" t="inlineStr">
        <is>
          <t>Catatan</t>
        </is>
      </c>
    </row>
    <row r="5">
      <c r="A5" s="17" t="inlineStr">
        <is>
          <t>RF-01</t>
        </is>
      </c>
      <c r="B5" s="17" t="inlineStr">
        <is>
          <t>Regulasi</t>
        </is>
      </c>
      <c r="C5" s="17" t="inlineStr">
        <is>
          <t>Tetapkan sertifikasi target</t>
        </is>
      </c>
      <c r="D5" s="17" t="inlineStr">
        <is>
          <t>SDPPI (Indonesia)</t>
        </is>
      </c>
      <c r="E5" s="17" t="inlineStr">
        <is>
          <t>Pita 920–923 MHz adalah pita Indonesia; pita SRD Eropa adalah 863–870 MHz sehingga sertifikasi radio CE untuk 920 MHz tidak relevan kecuali dibuat varian 868 MHz</t>
        </is>
      </c>
      <c r="F5" s="17" t="inlineStr">
        <is>
          <t>Keputusan tertulis</t>
        </is>
      </c>
      <c r="G5" s="17" t="inlineStr">
        <is>
          <t>Belum</t>
        </is>
      </c>
      <c r="H5" s="17" t="inlineStr">
        <is>
          <t>LGU</t>
        </is>
      </c>
      <c r="I5" s="17" t="inlineStr"/>
      <c r="J5" s="17" t="inlineStr"/>
    </row>
    <row r="6">
      <c r="A6" s="17" t="inlineStr">
        <is>
          <t>RF-02</t>
        </is>
      </c>
      <c r="B6" s="17" t="inlineStr">
        <is>
          <t>Regulasi</t>
        </is>
      </c>
      <c r="C6" s="17" t="inlineStr">
        <is>
          <t>Verifikasi batas teknis 920–923 MHz (EIRP, bandwidth, duty cycle)</t>
        </is>
      </c>
      <c r="D6" s="17" t="inlineStr">
        <is>
          <t>Peraturan SDPPI/Kominfo terbaru</t>
        </is>
      </c>
      <c r="E6" s="17" t="inlineStr">
        <is>
          <t>Acuan umum LoRa untuk Indonesia: EIRP maks. 16 dBm — wajib dicek ke peraturan yang berlaku</t>
        </is>
      </c>
      <c r="F6" s="17" t="inlineStr">
        <is>
          <t>Tabel batas resmi</t>
        </is>
      </c>
      <c r="G6" s="17" t="inlineStr">
        <is>
          <t>Belum</t>
        </is>
      </c>
      <c r="H6" s="17" t="inlineStr">
        <is>
          <t>LGU</t>
        </is>
      </c>
      <c r="I6" s="17" t="inlineStr"/>
      <c r="J6" s="17" t="inlineStr"/>
    </row>
    <row r="7">
      <c r="A7" s="17" t="inlineStr">
        <is>
          <t>RF-03</t>
        </is>
      </c>
      <c r="B7" s="17" t="inlineStr">
        <is>
          <t>Desain</t>
        </is>
      </c>
      <c r="C7" s="17" t="inlineStr">
        <is>
          <t>Hitung EIRP konfigurasi saat ini</t>
        </is>
      </c>
      <c r="D7" s="17" t="inlineStr">
        <is>
          <t>—</t>
        </is>
      </c>
      <c r="E7" s="17" t="inlineStr">
        <is>
          <t>GLD: 22 dBm + 3 dBi ≈ 25 dBm; CH mesh: 22 dBm + 8 dBi ≈ 30 dBm. Pre-scan CH 112,47 dBµV/m @3 m ≈ 17 dBm EIRP (indikatif)</t>
        </is>
      </c>
      <c r="F7" s="17" t="inlineStr">
        <is>
          <t>EIRP ≤ batas resmi</t>
        </is>
      </c>
      <c r="G7" s="17" t="inlineStr">
        <is>
          <t>Belum</t>
        </is>
      </c>
      <c r="H7" s="17" t="inlineStr">
        <is>
          <t>Lab IoT ITB</t>
        </is>
      </c>
      <c r="I7" s="17" t="inlineStr"/>
      <c r="J7" s="17" t="inlineStr"/>
    </row>
    <row r="8">
      <c r="A8" s="17" t="inlineStr">
        <is>
          <t>RF-04</t>
        </is>
      </c>
      <c r="B8" s="17" t="inlineStr">
        <is>
          <t>Desain</t>
        </is>
      </c>
      <c r="C8" s="17" t="inlineStr">
        <is>
          <t>Setel daya TX per jenis antena &amp; uji ulang jangkauan</t>
        </is>
      </c>
      <c r="D8" s="17" t="inlineStr">
        <is>
          <t>—</t>
        </is>
      </c>
      <c r="E8" s="17" t="inlineStr">
        <is>
          <t>Contoh bila batas 16 dBm: GLD ≤ 13 dBm, CH mesh ≤ 8 dBm; ulang uji jangkauan/mesh</t>
        </is>
      </c>
      <c r="F8" s="17" t="inlineStr">
        <is>
          <t>Link budget tetap memadai</t>
        </is>
      </c>
      <c r="G8" s="17" t="inlineStr">
        <is>
          <t>Belum</t>
        </is>
      </c>
      <c r="H8" s="17" t="inlineStr">
        <is>
          <t>Lab IoT ITB</t>
        </is>
      </c>
      <c r="I8" s="17" t="inlineStr"/>
      <c r="J8" s="17" t="inlineStr"/>
    </row>
    <row r="9">
      <c r="A9" s="17" t="inlineStr">
        <is>
          <t>RF-05</t>
        </is>
      </c>
      <c r="B9" s="17" t="inlineStr">
        <is>
          <t>Firmware</t>
        </is>
      </c>
      <c r="C9" s="17" t="inlineStr">
        <is>
          <t>Mode uji radio (TX kontinu / CW / termodulasi pada kanal terpilih)</t>
        </is>
      </c>
      <c r="D9" s="17" t="inlineStr">
        <is>
          <t>—</t>
        </is>
      </c>
      <c r="E9" s="17" t="inlineStr">
        <is>
          <t>Diperlukan lab untuk mengukur pemancar</t>
        </is>
      </c>
      <c r="F9" s="17" t="inlineStr">
        <is>
          <t>Firmware mode uji tersedia</t>
        </is>
      </c>
      <c r="G9" s="17" t="inlineStr">
        <is>
          <t>Belum</t>
        </is>
      </c>
      <c r="H9" s="17" t="inlineStr">
        <is>
          <t>Lab IoT ITB</t>
        </is>
      </c>
      <c r="I9" s="17" t="inlineStr"/>
      <c r="J9" s="17" t="inlineStr"/>
    </row>
    <row r="10">
      <c r="A10" s="17" t="inlineStr">
        <is>
          <t>RF-06</t>
        </is>
      </c>
      <c r="B10" s="17" t="inlineStr">
        <is>
          <t>Pra-uji</t>
        </is>
      </c>
      <c r="C10" s="17" t="inlineStr">
        <is>
          <t>Daya keluaran konduksi di port antena</t>
        </is>
      </c>
      <c r="D10" s="17" t="inlineStr">
        <is>
          <t>SDPPI / EN 300 220-1 (metode)</t>
        </is>
      </c>
      <c r="E10" s="17" t="inlineStr">
        <is>
          <t>Spectrum analyzer + atenuator, 920 &amp; 921 MHz</t>
        </is>
      </c>
      <c r="F10" s="17" t="inlineStr">
        <is>
          <t>Sesuai setelan &amp; batas</t>
        </is>
      </c>
      <c r="G10" s="17" t="inlineStr">
        <is>
          <t>Belum</t>
        </is>
      </c>
      <c r="H10" s="17" t="inlineStr">
        <is>
          <t>Lab IoT ITB</t>
        </is>
      </c>
      <c r="I10" s="17" t="inlineStr"/>
      <c r="J10" s="17" t="inlineStr"/>
    </row>
    <row r="11">
      <c r="A11" s="17" t="inlineStr">
        <is>
          <t>RF-07</t>
        </is>
      </c>
      <c r="B11" s="17" t="inlineStr">
        <is>
          <t>Pra-uji</t>
        </is>
      </c>
      <c r="C11" s="17" t="inlineStr">
        <is>
          <t>Kesalahan frekuensi &amp; lebar pita terpakai (99 %)</t>
        </is>
      </c>
      <c r="D11" s="17" t="inlineStr">
        <is>
          <t>SDPPI</t>
        </is>
      </c>
      <c r="E11" s="17" t="inlineStr">
        <is>
          <t>LoRa BW 125 kHz</t>
        </is>
      </c>
      <c r="F11" s="17" t="inlineStr">
        <is>
          <t>Dalam pita &amp; toleransi</t>
        </is>
      </c>
      <c r="G11" s="17" t="inlineStr">
        <is>
          <t>Belum</t>
        </is>
      </c>
      <c r="H11" s="17" t="inlineStr">
        <is>
          <t>Lab IoT ITB</t>
        </is>
      </c>
      <c r="I11" s="17" t="inlineStr"/>
      <c r="J11" s="17" t="inlineStr"/>
    </row>
    <row r="12">
      <c r="A12" s="17" t="inlineStr">
        <is>
          <t>RF-08</t>
        </is>
      </c>
      <c r="B12" s="17" t="inlineStr">
        <is>
          <t>Pra-uji</t>
        </is>
      </c>
      <c r="C12" s="17" t="inlineStr">
        <is>
          <t>Emisi spurious &amp; harmonik (konduksi + radiasi s.d. 6 GHz)</t>
        </is>
      </c>
      <c r="D12" s="17" t="inlineStr">
        <is>
          <t>SDPPI / EN 300 220-1</t>
        </is>
      </c>
      <c r="E12" s="17" t="inlineStr">
        <is>
          <t>Fokus harmonik ke-2 1,84 GHz &amp; ke-3 2,76 GHz (CH)</t>
        </is>
      </c>
      <c r="F12" s="17" t="inlineStr">
        <is>
          <t>Di bawah batas spurious</t>
        </is>
      </c>
      <c r="G12" s="17" t="inlineStr">
        <is>
          <t>Belum</t>
        </is>
      </c>
      <c r="H12" s="17" t="inlineStr">
        <is>
          <t>Lab IoT ITB</t>
        </is>
      </c>
      <c r="I12" s="17" t="inlineStr"/>
      <c r="J12" s="17" t="inlineStr"/>
    </row>
    <row r="13">
      <c r="A13" s="17" t="inlineStr">
        <is>
          <t>RF-09</t>
        </is>
      </c>
      <c r="B13" s="17" t="inlineStr">
        <is>
          <t>Pra-uji</t>
        </is>
      </c>
      <c r="C13" s="17" t="inlineStr">
        <is>
          <t>Duty cycle / laju kirim</t>
        </is>
      </c>
      <c r="D13" s="17" t="inlineStr">
        <is>
          <t>Peraturan terkait</t>
        </is>
      </c>
      <c r="E13" s="17" t="inlineStr">
        <is>
          <t>Hitung dari interval kirim normal (±90 dtk) &amp; alarm (±10 dtk)</t>
        </is>
      </c>
      <c r="F13" s="17" t="inlineStr">
        <is>
          <t>Sesuai batas bila ada</t>
        </is>
      </c>
      <c r="G13" s="17" t="inlineStr">
        <is>
          <t>Belum</t>
        </is>
      </c>
      <c r="H13" s="17" t="inlineStr">
        <is>
          <t>Lab IoT ITB</t>
        </is>
      </c>
      <c r="I13" s="17" t="inlineStr"/>
      <c r="J13" s="17" t="inlineStr"/>
    </row>
    <row r="14">
      <c r="A14" s="17" t="inlineStr">
        <is>
          <t>RF-10</t>
        </is>
      </c>
      <c r="B14" s="17" t="inlineStr">
        <is>
          <t>Dokumen</t>
        </is>
      </c>
      <c r="C14" s="17" t="inlineStr">
        <is>
          <t>Data antena (gain, pola) 3 dBi &amp; 8 dBi</t>
        </is>
      </c>
      <c r="D14" s="17" t="inlineStr">
        <is>
          <t>—</t>
        </is>
      </c>
      <c r="E14" s="17" t="inlineStr">
        <is>
          <t>Datasheet pemasok</t>
        </is>
      </c>
      <c r="F14" s="17" t="inlineStr">
        <is>
          <t>Datasheet tersedia</t>
        </is>
      </c>
      <c r="G14" s="17" t="inlineStr">
        <is>
          <t>Belum</t>
        </is>
      </c>
      <c r="H14" s="17" t="inlineStr">
        <is>
          <t>LGU</t>
        </is>
      </c>
      <c r="I14" s="17" t="inlineStr"/>
      <c r="J14" s="17" t="inlineStr"/>
    </row>
    <row r="15">
      <c r="A15" s="17" t="inlineStr">
        <is>
          <t>RF-11</t>
        </is>
      </c>
      <c r="B15" s="17" t="inlineStr">
        <is>
          <t>Dokumen</t>
        </is>
      </c>
      <c r="C15" s="17" t="inlineStr">
        <is>
          <t>Status sertifikasi modul E22-900MM22S</t>
        </is>
      </c>
      <c r="D15" s="17" t="inlineStr">
        <is>
          <t>—</t>
        </is>
      </c>
      <c r="E15" s="17" t="inlineStr">
        <is>
          <t>Sertifikat modul tidak menggantikan sertifikasi perangkat di Indonesia</t>
        </is>
      </c>
      <c r="F15" s="17" t="inlineStr">
        <is>
          <t>Data pemasok</t>
        </is>
      </c>
      <c r="G15" s="17" t="inlineStr">
        <is>
          <t>Belum</t>
        </is>
      </c>
      <c r="H15" s="17" t="inlineStr">
        <is>
          <t>LGU</t>
        </is>
      </c>
      <c r="I15" s="17" t="inlineStr"/>
      <c r="J15" s="17" t="inlineStr"/>
    </row>
    <row r="16">
      <c r="A16" s="17" t="inlineStr">
        <is>
          <t>RF-12</t>
        </is>
      </c>
      <c r="B16" s="17" t="inlineStr">
        <is>
          <t>Regulasi</t>
        </is>
      </c>
      <c r="C16" s="17" t="inlineStr">
        <is>
          <t>Cek persyaratan TKDN perangkat LPWA</t>
        </is>
      </c>
      <c r="D16" s="17" t="inlineStr">
        <is>
          <t>Peraturan Kominfo/Kemenperin</t>
        </is>
      </c>
      <c r="E16" s="17" t="inlineStr">
        <is>
          <t>Perlu dicek</t>
        </is>
      </c>
      <c r="F16" s="17" t="inlineStr">
        <is>
          <t>Status jelas</t>
        </is>
      </c>
      <c r="G16" s="17" t="inlineStr">
        <is>
          <t>Belum</t>
        </is>
      </c>
      <c r="H16" s="17" t="inlineStr">
        <is>
          <t>LGU</t>
        </is>
      </c>
      <c r="I16" s="17" t="inlineStr"/>
      <c r="J16" s="17" t="inlineStr"/>
    </row>
    <row r="17">
      <c r="A17" s="17" t="inlineStr">
        <is>
          <t>RF-13</t>
        </is>
      </c>
      <c r="B17" s="17" t="inlineStr">
        <is>
          <t>Koordinasi</t>
        </is>
      </c>
      <c r="C17" s="17" t="inlineStr">
        <is>
          <t>Tentukan pemohon sertifikat &amp; daftar perangkat</t>
        </is>
      </c>
      <c r="D17" s="17" t="inlineStr">
        <is>
          <t>SDPPI</t>
        </is>
      </c>
      <c r="E17" s="17" t="inlineStr">
        <is>
          <t>Badan hukum Indonesia (LGU atau PT Galaksi); perangkat terpisah: GLD, CH besar, CH kecil, Gateway</t>
        </is>
      </c>
      <c r="F17" s="17" t="inlineStr">
        <is>
          <t>Keputusan tertulis</t>
        </is>
      </c>
      <c r="G17" s="17" t="inlineStr">
        <is>
          <t>Belum</t>
        </is>
      </c>
      <c r="H17" s="17" t="inlineStr">
        <is>
          <t>LGU</t>
        </is>
      </c>
      <c r="I17" s="17" t="inlineStr"/>
      <c r="J17" s="17" t="inlineStr"/>
    </row>
    <row r="18">
      <c r="A18" s="17" t="inlineStr">
        <is>
          <t>RF-14</t>
        </is>
      </c>
      <c r="B18" s="17" t="inlineStr">
        <is>
          <t>Koordinasi</t>
        </is>
      </c>
      <c r="C18" s="17" t="inlineStr">
        <is>
          <t>Pilih lab uji perangkat telekomunikasi</t>
        </is>
      </c>
      <c r="D18" s="17" t="inlineStr">
        <is>
          <t>—</t>
        </is>
      </c>
      <c r="E18" s="17" t="inlineStr">
        <is>
          <t>Telkom Test House (sudah dipakai pre-scan EMC) atau lab lain yang diakui SDPPI; gabungkan dengan uji EMC radio</t>
        </is>
      </c>
      <c r="F18" s="17" t="inlineStr">
        <is>
          <t>Penawaran &amp; jadwal</t>
        </is>
      </c>
      <c r="G18" s="17" t="inlineStr">
        <is>
          <t>Belum</t>
        </is>
      </c>
      <c r="H18" s="17" t="inlineStr">
        <is>
          <t>LGU</t>
        </is>
      </c>
      <c r="I18" s="17" t="inlineStr"/>
      <c r="J18" s="17" t="inlineStr"/>
    </row>
    <row r="19">
      <c r="A19" s="17" t="inlineStr">
        <is>
          <t>RF-15</t>
        </is>
      </c>
      <c r="B19" s="17" t="inlineStr">
        <is>
          <t>Dokumen</t>
        </is>
      </c>
      <c r="C19" s="17" t="inlineStr">
        <is>
          <t>Berkas permohonan (manual, skematik, foto, block diagram, label)</t>
        </is>
      </c>
      <c r="D19" s="17" t="inlineStr">
        <is>
          <t>SDPPI</t>
        </is>
      </c>
      <c r="E19" s="17" t="inlineStr"/>
      <c r="F19" s="17" t="inlineStr">
        <is>
          <t>Berkas lengkap</t>
        </is>
      </c>
      <c r="G19" s="17" t="inlineStr">
        <is>
          <t>Belum</t>
        </is>
      </c>
      <c r="H19" s="17" t="inlineStr">
        <is>
          <t>LGU</t>
        </is>
      </c>
      <c r="I19" s="17" t="inlineStr"/>
      <c r="J19" s="17" t="inlineStr"/>
    </row>
    <row r="20">
      <c r="A20" s="17" t="inlineStr">
        <is>
          <t>RF-16</t>
        </is>
      </c>
      <c r="B20" s="17" t="inlineStr">
        <is>
          <t>Pendukung</t>
        </is>
      </c>
      <c r="C20" s="17" t="inlineStr">
        <is>
          <t>Uji ketahanan interferensi co-channel 10–25 dBm</t>
        </is>
      </c>
      <c r="D20" s="17" t="inlineStr">
        <is>
          <t>—</t>
        </is>
      </c>
      <c r="E20" s="17" t="inlineStr">
        <is>
          <t>RSSI stabil −17…−18 dBm (hasil awal informal, 17 Sep)</t>
        </is>
      </c>
      <c r="F20" s="17" t="inlineStr">
        <is>
          <t>Bukti pendukung</t>
        </is>
      </c>
      <c r="G20" s="17" t="inlineStr">
        <is>
          <t>Sebagian</t>
        </is>
      </c>
      <c r="H20" s="17" t="inlineStr">
        <is>
          <t>Lab Fisika ITB</t>
        </is>
      </c>
      <c r="I20" s="17" t="inlineStr"/>
      <c r="J20" s="17" t="inlineStr"/>
    </row>
    <row r="21">
      <c r="A21" s="17" t="inlineStr">
        <is>
          <t>RF-17</t>
        </is>
      </c>
      <c r="B21" s="17" t="inlineStr">
        <is>
          <t>Pendukung</t>
        </is>
      </c>
      <c r="C21" s="17" t="inlineStr">
        <is>
          <t>Router WiFi 2,4 GHz komersial bersertifikat</t>
        </is>
      </c>
      <c r="D21" s="17" t="inlineStr">
        <is>
          <t>SDPPI</t>
        </is>
      </c>
      <c r="E21" s="17" t="inlineStr">
        <is>
          <t>Pastikan berlabel sertifikat</t>
        </is>
      </c>
      <c r="F21" s="17" t="inlineStr">
        <is>
          <t>Label terverifikasi</t>
        </is>
      </c>
      <c r="G21" s="17" t="inlineStr">
        <is>
          <t>Belum</t>
        </is>
      </c>
      <c r="H21" s="17" t="inlineStr">
        <is>
          <t>LGU</t>
        </is>
      </c>
      <c r="I21" s="17" t="inlineStr"/>
      <c r="J21" s="17" t="inlineStr"/>
    </row>
  </sheetData>
  <autoFilter ref="A4:J21"/>
  <mergeCells count="2">
    <mergeCell ref="A1:J1"/>
    <mergeCell ref="A2:J2"/>
  </mergeCells>
  <conditionalFormatting sqref="G5:G71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1">
      <formula>"Sebagian"</formula>
    </cfRule>
    <cfRule type="cellIs" priority="4" operator="equal" dxfId="2">
      <formula>"Menunggu"</formula>
    </cfRule>
    <cfRule type="cellIs" priority="5" operator="equal" dxfId="3">
      <formula>"Selesai"</formula>
    </cfRule>
    <cfRule type="cellIs" priority="6" operator="equal" dxfId="4">
      <formula>"N.A."</formula>
    </cfRule>
  </conditionalFormatting>
  <dataValidations count="1">
    <dataValidation sqref="G5:G71" showDropDown="0" showInputMessage="0" showErrorMessage="0" allowBlank="1" type="list">
      <formula1>"Belum,Proses,Sebagian,Menunggu,Selesai,N.A."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1" customWidth="1" min="4" max="4"/>
    <col width="14" customWidth="1" min="5" max="5"/>
    <col width="44" customWidth="1" min="6" max="6"/>
    <col width="30" customWidth="1" min="7" max="7"/>
    <col width="18" customWidth="1" min="8" max="8"/>
    <col width="12" customWidth="1" min="9" max="9"/>
    <col width="22" customWidth="1" min="10" max="10"/>
  </cols>
  <sheetData>
    <row r="1" ht="24" customHeight="1">
      <c r="A1" s="14" t="inlineStr">
        <is>
          <t>Monitor Sertifikasi ATEX/IECEx — Node GLD</t>
        </is>
      </c>
    </row>
    <row r="2" ht="42" customHeight="1">
      <c r="A2" s="15" t="inlineStr">
        <is>
          <t>Status per 28 Oktober 2026. GTS = agen sertifikasi (bukan badan sertifikasi). Perbarui kolom Status &amp; Update setiap ada perkembangan, lalu catat di sheet Log ATEX.</t>
        </is>
      </c>
    </row>
    <row r="4">
      <c r="A4" s="16" t="inlineStr">
        <is>
          <t>ID</t>
        </is>
      </c>
      <c r="B4" s="16" t="inlineStr">
        <is>
          <t>Kategori</t>
        </is>
      </c>
      <c r="C4" s="16" t="inlineStr">
        <is>
          <t>Item</t>
        </is>
      </c>
      <c r="D4" s="16" t="inlineStr">
        <is>
          <t>Status</t>
        </is>
      </c>
      <c r="E4" s="16" t="inlineStr">
        <is>
          <t>Update terakhir</t>
        </is>
      </c>
      <c r="F4" s="16" t="inlineStr">
        <is>
          <t>Keterangan</t>
        </is>
      </c>
      <c r="G4" s="16" t="inlineStr">
        <is>
          <t>Langkah berikut</t>
        </is>
      </c>
      <c r="H4" s="16" t="inlineStr">
        <is>
          <t>PIC</t>
        </is>
      </c>
      <c r="I4" s="16" t="inlineStr">
        <is>
          <t>Target</t>
        </is>
      </c>
      <c r="J4" s="16" t="inlineStr">
        <is>
          <t>Bukti / dokumen</t>
        </is>
      </c>
    </row>
    <row r="5">
      <c r="A5" s="17" t="inlineStr">
        <is>
          <t>AX-01</t>
        </is>
      </c>
      <c r="B5" s="17" t="inlineStr">
        <is>
          <t>Pengajuan</t>
        </is>
      </c>
      <c r="C5" s="17" t="inlineStr">
        <is>
          <t>Form aplikasi &amp; dossier dikirim ke GTS (agen sertifikasi)</t>
        </is>
      </c>
      <c r="D5" s="17" t="inlineStr">
        <is>
          <t>Selesai</t>
        </is>
      </c>
      <c r="E5" s="17" t="inlineStr">
        <is>
          <t>±29 Sep 2026</t>
        </is>
      </c>
      <c r="F5" s="17" t="inlineStr">
        <is>
          <t>Applicant = PT Galaksi; marking usulan II 2G Ex db IIC T4 Gb</t>
        </is>
      </c>
      <c r="G5" s="17" t="inlineStr">
        <is>
          <t>—</t>
        </is>
      </c>
      <c r="H5" s="17" t="inlineStr">
        <is>
          <t>PT Galaksi · LGU</t>
        </is>
      </c>
      <c r="I5" s="17" t="inlineStr"/>
      <c r="J5" s="17" t="inlineStr"/>
    </row>
    <row r="6">
      <c r="A6" s="17" t="inlineStr">
        <is>
          <t>AX-02</t>
        </is>
      </c>
      <c r="B6" s="17" t="inlineStr">
        <is>
          <t>Pengajuan</t>
        </is>
      </c>
      <c r="C6" s="17" t="inlineStr">
        <is>
          <t>Umpan balik / iterasi dari GTS atas dossier</t>
        </is>
      </c>
      <c r="D6" s="17" t="inlineStr">
        <is>
          <t>Menunggu</t>
        </is>
      </c>
      <c r="E6" s="17" t="inlineStr">
        <is>
          <t>28 Okt 2026</t>
        </is>
      </c>
      <c r="F6" s="17" t="inlineStr">
        <is>
          <t>Belum tercatat ada umpan balik di repo</t>
        </is>
      </c>
      <c r="G6" s="17" t="inlineStr">
        <is>
          <t>Tanyakan status ke GTS</t>
        </is>
      </c>
      <c r="H6" s="17" t="inlineStr">
        <is>
          <t>LGU</t>
        </is>
      </c>
      <c r="I6" s="17" t="inlineStr"/>
      <c r="J6" s="17" t="inlineStr"/>
    </row>
    <row r="7">
      <c r="A7" s="17" t="inlineStr">
        <is>
          <t>AX-03</t>
        </is>
      </c>
      <c r="B7" s="17" t="inlineStr">
        <is>
          <t>Pengajuan</t>
        </is>
      </c>
      <c r="C7" s="17" t="inlineStr">
        <is>
          <t>Perbaikan 8 kontradiksi dossier terkirim (marking debu, Tamb, PG13.5, Ex d, partisi, baterai, material, relay)</t>
        </is>
      </c>
      <c r="D7" s="17" t="inlineStr">
        <is>
          <t>Selesai</t>
        </is>
      </c>
      <c r="E7" s="17" t="inlineStr">
        <is>
          <t>8 Okt 2026</t>
        </is>
      </c>
      <c r="F7" s="17" t="inlineStr">
        <is>
          <t>Sudah dibetulkan di Dokumen Teknis Sertifikasi rev 2.8+</t>
        </is>
      </c>
      <c r="G7" s="17" t="inlineStr">
        <is>
          <t>Kirim ulang (AX-04)</t>
        </is>
      </c>
      <c r="H7" s="17" t="inlineStr">
        <is>
          <t>LGU</t>
        </is>
      </c>
      <c r="I7" s="17" t="inlineStr"/>
      <c r="J7" s="17" t="inlineStr"/>
    </row>
    <row r="8">
      <c r="A8" s="17" t="inlineStr">
        <is>
          <t>AX-04</t>
        </is>
      </c>
      <c r="B8" s="17" t="inlineStr">
        <is>
          <t>Pengajuan</t>
        </is>
      </c>
      <c r="C8" s="17" t="inlineStr">
        <is>
          <t>Kirim ulang dossier terkoreksi ke GTS</t>
        </is>
      </c>
      <c r="D8" s="17" t="inlineStr">
        <is>
          <t>Belum</t>
        </is>
      </c>
      <c r="E8" s="17" t="inlineStr">
        <is>
          <t>28 Okt 2026</t>
        </is>
      </c>
      <c r="F8" s="17" t="inlineStr"/>
      <c r="G8" s="17" t="inlineStr">
        <is>
          <t>Kirim bersama jawaban iterasi GTS</t>
        </is>
      </c>
      <c r="H8" s="17" t="inlineStr">
        <is>
          <t>LGU · PT Galaksi</t>
        </is>
      </c>
      <c r="I8" s="17" t="inlineStr"/>
      <c r="J8" s="17" t="inlineStr"/>
    </row>
    <row r="9">
      <c r="A9" s="17" t="inlineStr">
        <is>
          <t>AX-05</t>
        </is>
      </c>
      <c r="B9" s="17" t="inlineStr">
        <is>
          <t>Sampel</t>
        </is>
      </c>
      <c r="C9" s="17" t="inlineStr">
        <is>
          <t>Sampel GLD2-0x1001 + surat pengantar GTS &amp; surat Bea Cukai</t>
        </is>
      </c>
      <c r="D9" s="17" t="inlineStr">
        <is>
          <t>Proses</t>
        </is>
      </c>
      <c r="E9" s="17" t="inlineStr">
        <is>
          <t>12 Okt 2026</t>
        </is>
      </c>
      <c r="F9" s="17" t="inlineStr">
        <is>
          <t>Surat siap; status pengiriman/serah terima sampel belum dikonfirmasi</t>
        </is>
      </c>
      <c r="G9" s="17" t="inlineStr">
        <is>
          <t>Konfirmasi tanggal serah terima</t>
        </is>
      </c>
      <c r="H9" s="17" t="inlineStr">
        <is>
          <t>LGU</t>
        </is>
      </c>
      <c r="I9" s="17" t="inlineStr"/>
      <c r="J9" s="17" t="inlineStr"/>
    </row>
    <row r="10">
      <c r="A10" s="17" t="inlineStr">
        <is>
          <t>AX-06</t>
        </is>
      </c>
      <c r="B10" s="17" t="inlineStr">
        <is>
          <t>Sampel</t>
        </is>
      </c>
      <c r="C10" s="17" t="inlineStr">
        <is>
          <t>Baterai 7×18650 di sampel — kapasitas per sel &amp; keputusan baterai di luar produk</t>
        </is>
      </c>
      <c r="D10" s="17" t="inlineStr">
        <is>
          <t>Belum</t>
        </is>
      </c>
      <c r="E10" s="17" t="inlineStr">
        <is>
          <t>12 Okt 2026</t>
        </is>
      </c>
      <c r="F10" s="17" t="inlineStr">
        <is>
          <t>&gt;3860 mAh/sel ⇒ &gt;100 Wh (izin maskapai)</t>
        </is>
      </c>
      <c r="G10" s="17" t="inlineStr">
        <is>
          <t>Konfirmasi kapasitas sel; putuskan terminal BAT</t>
        </is>
      </c>
      <c r="H10" s="17" t="inlineStr">
        <is>
          <t>LGU</t>
        </is>
      </c>
      <c r="I10" s="17" t="inlineStr"/>
      <c r="J10" s="17" t="inlineStr"/>
    </row>
    <row r="11">
      <c r="A11" s="17" t="inlineStr">
        <is>
          <t>AX-07</t>
        </is>
      </c>
      <c r="B11" s="17" t="inlineStr">
        <is>
          <t>Teknis</t>
        </is>
      </c>
      <c r="C11" s="17" t="inlineStr">
        <is>
          <t>Metode proteksi Ex d (flameproof enclosure)</t>
        </is>
      </c>
      <c r="D11" s="17" t="inlineStr">
        <is>
          <t>Proses</t>
        </is>
      </c>
      <c r="E11" s="17" t="inlineStr">
        <is>
          <t>28 Sep 2026</t>
        </is>
      </c>
      <c r="F11" s="17" t="inlineStr">
        <is>
          <t>Rekomendasi tim &amp; dicentang di form; perlu diterima ExCB</t>
        </is>
      </c>
      <c r="G11" s="17" t="inlineStr">
        <is>
          <t>Tunggu tanggapan GTS/ExCB</t>
        </is>
      </c>
      <c r="H11" s="17" t="inlineStr">
        <is>
          <t>LGU</t>
        </is>
      </c>
      <c r="I11" s="17" t="inlineStr"/>
      <c r="J11" s="17" t="inlineStr"/>
    </row>
    <row r="12">
      <c r="A12" s="17" t="inlineStr">
        <is>
          <t>AX-08</t>
        </is>
      </c>
      <c r="B12" s="17" t="inlineStr">
        <is>
          <t>Teknis</t>
        </is>
      </c>
      <c r="C12" s="17" t="inlineStr">
        <is>
          <t>Gambar enclosure &amp; flame path terkendali (G-03)</t>
        </is>
      </c>
      <c r="D12" s="17" t="inlineStr">
        <is>
          <t>Belum</t>
        </is>
      </c>
      <c r="E12" s="17" t="inlineStr">
        <is>
          <t>7 Okt 2026</t>
        </is>
      </c>
      <c r="F12" s="17" t="inlineStr">
        <is>
          <t>Sketsa ukur MS-01…04 hanya ilustrasi</t>
        </is>
      </c>
      <c r="G12" s="17" t="inlineStr">
        <is>
          <t>Minta gambar dari mitra casing</t>
        </is>
      </c>
      <c r="H12" s="17" t="inlineStr">
        <is>
          <t>PT Galaksi</t>
        </is>
      </c>
      <c r="I12" s="17" t="inlineStr"/>
      <c r="J12" s="17" t="inlineStr"/>
    </row>
    <row r="13">
      <c r="A13" s="17" t="inlineStr">
        <is>
          <t>AX-09</t>
        </is>
      </c>
      <c r="B13" s="17" t="inlineStr">
        <is>
          <t>Teknis</t>
        </is>
      </c>
      <c r="C13" s="17" t="inlineStr">
        <is>
          <t>Cable gland Ex d IIC (barrier gland) — ganti gland polimer prototipe</t>
        </is>
      </c>
      <c r="D13" s="17" t="inlineStr">
        <is>
          <t>Belum</t>
        </is>
      </c>
      <c r="E13" s="17" t="inlineStr">
        <is>
          <t>7 Okt 2026</t>
        </is>
      </c>
      <c r="F13" s="17" t="inlineStr"/>
      <c r="G13" s="17" t="inlineStr">
        <is>
          <t>Pilih gland bersertifikat M20×1,5</t>
        </is>
      </c>
      <c r="H13" s="17" t="inlineStr">
        <is>
          <t>PT Galaksi</t>
        </is>
      </c>
      <c r="I13" s="17" t="inlineStr"/>
      <c r="J13" s="17" t="inlineStr"/>
    </row>
    <row r="14">
      <c r="A14" s="17" t="inlineStr">
        <is>
          <t>AX-10</t>
        </is>
      </c>
      <c r="B14" s="17" t="inlineStr">
        <is>
          <t>Teknis</t>
        </is>
      </c>
      <c r="C14" s="17" t="inlineStr">
        <is>
          <t>Bukti inlet gas / mesh sensor (flame arrestor) untuk Ex d</t>
        </is>
      </c>
      <c r="D14" s="17" t="inlineStr">
        <is>
          <t>Belum</t>
        </is>
      </c>
      <c r="E14" s="17" t="inlineStr">
        <is>
          <t>7 Okt 2026</t>
        </is>
      </c>
      <c r="F14" s="17" t="inlineStr"/>
      <c r="G14" s="17" t="inlineStr">
        <is>
          <t>Data pabrikan mesh / desain arrestor</t>
        </is>
      </c>
      <c r="H14" s="17" t="inlineStr">
        <is>
          <t>PT Galaksi · LGU</t>
        </is>
      </c>
      <c r="I14" s="17" t="inlineStr"/>
      <c r="J14" s="17" t="inlineStr"/>
    </row>
    <row r="15">
      <c r="A15" s="17" t="inlineStr">
        <is>
          <t>AX-11</t>
        </is>
      </c>
      <c r="B15" s="17" t="inlineStr">
        <is>
          <t>Teknis</t>
        </is>
      </c>
      <c r="C15" s="17" t="inlineStr">
        <is>
          <t>Kelas suhu T4 — uji suhu permukaan</t>
        </is>
      </c>
      <c r="D15" s="17" t="inlineStr">
        <is>
          <t>Sebagian</t>
        </is>
      </c>
      <c r="E15" s="17" t="inlineStr">
        <is>
          <t>30 Sep 2026</t>
        </is>
      </c>
      <c r="F15" s="17" t="inlineStr">
        <is>
          <t>Ekstrapolasi +60 °C ≈ 114 °C vs batas efektif 130 °C; enclosure ≈ 79 °C; TC-3/4/5, mode alarm &amp; TX belum</t>
        </is>
      </c>
      <c r="G15" s="17" t="inlineStr">
        <is>
          <t>Lengkapi pengukuran &amp; metadata uji</t>
        </is>
      </c>
      <c r="H15" s="17" t="inlineStr">
        <is>
          <t>Lab IoT ITB</t>
        </is>
      </c>
      <c r="I15" s="17" t="inlineStr"/>
      <c r="J15" s="17" t="inlineStr"/>
    </row>
    <row r="16">
      <c r="A16" s="17" t="inlineStr">
        <is>
          <t>AX-12</t>
        </is>
      </c>
      <c r="B16" s="17" t="inlineStr">
        <is>
          <t>Dokumen</t>
        </is>
      </c>
      <c r="C16" s="17" t="inlineStr">
        <is>
          <t>BOM Ex-critical &amp; material non-logam (6.b/6.c)</t>
        </is>
      </c>
      <c r="D16" s="17" t="inlineStr">
        <is>
          <t>Sebagian</t>
        </is>
      </c>
      <c r="E16" s="17" t="inlineStr">
        <is>
          <t>7 Okt 2026</t>
        </is>
      </c>
      <c r="F16" s="17" t="inlineStr">
        <is>
          <t>BOM elektronik ada; data material &amp; datasheet pemasok belum</t>
        </is>
      </c>
      <c r="G16" s="17" t="inlineStr">
        <is>
          <t>Minta data mitra casing</t>
        </is>
      </c>
      <c r="H16" s="17" t="inlineStr">
        <is>
          <t>PT Galaksi · LGU</t>
        </is>
      </c>
      <c r="I16" s="17" t="inlineStr"/>
      <c r="J16" s="17" t="inlineStr"/>
    </row>
    <row r="17">
      <c r="A17" s="17" t="inlineStr">
        <is>
          <t>AX-13</t>
        </is>
      </c>
      <c r="B17" s="17" t="inlineStr">
        <is>
          <t>Dokumen</t>
        </is>
      </c>
      <c r="C17" s="17" t="inlineStr">
        <is>
          <t>Proses manufaktur (6.d)</t>
        </is>
      </c>
      <c r="D17" s="17" t="inlineStr">
        <is>
          <t>Sebagian</t>
        </is>
      </c>
      <c r="E17" s="17" t="inlineStr">
        <is>
          <t>7 Okt 2026</t>
        </is>
      </c>
      <c r="F17" s="17" t="inlineStr">
        <is>
          <t>Struktur d.1–d.13 ada; data pabrik belum</t>
        </is>
      </c>
      <c r="G17" s="17" t="inlineStr">
        <is>
          <t>Lengkapi dari PT Galaksi</t>
        </is>
      </c>
      <c r="H17" s="17" t="inlineStr">
        <is>
          <t>PT Galaksi</t>
        </is>
      </c>
      <c r="I17" s="17" t="inlineStr"/>
      <c r="J17" s="17" t="inlineStr"/>
    </row>
    <row r="18">
      <c r="A18" s="17" t="inlineStr">
        <is>
          <t>AX-14</t>
        </is>
      </c>
      <c r="B18" s="17" t="inlineStr">
        <is>
          <t>Dokumen</t>
        </is>
      </c>
      <c r="C18" s="17" t="inlineStr">
        <is>
          <t>Nameplate &amp; marking (6.h)</t>
        </is>
      </c>
      <c r="D18" s="17" t="inlineStr">
        <is>
          <t>Sebagian</t>
        </is>
      </c>
      <c r="E18" s="17" t="inlineStr">
        <is>
          <t>7 Okt 2026</t>
        </is>
      </c>
      <c r="F18" s="17" t="inlineStr">
        <is>
          <t>Artwork usulan MS-05 80×55 mm</t>
        </is>
      </c>
      <c r="G18" s="17" t="inlineStr">
        <is>
          <t>Final setelah sertifikat</t>
        </is>
      </c>
      <c r="H18" s="17" t="inlineStr">
        <is>
          <t>LGU · PT Galaksi</t>
        </is>
      </c>
      <c r="I18" s="17" t="inlineStr"/>
      <c r="J18" s="17" t="inlineStr"/>
    </row>
    <row r="19">
      <c r="A19" s="17" t="inlineStr">
        <is>
          <t>AX-15</t>
        </is>
      </c>
      <c r="B19" s="17" t="inlineStr">
        <is>
          <t>Dokumen</t>
        </is>
      </c>
      <c r="C19" s="17" t="inlineStr">
        <is>
          <t>Sertifikat komponen Ex (6.i)</t>
        </is>
      </c>
      <c r="D19" s="17" t="inlineStr">
        <is>
          <t>Belum</t>
        </is>
      </c>
      <c r="E19" s="17" t="inlineStr">
        <is>
          <t>7 Okt 2026</t>
        </is>
      </c>
      <c r="F19" s="17" t="inlineStr">
        <is>
          <t>Gland, blanking plug, dll.</t>
        </is>
      </c>
      <c r="G19" s="17" t="inlineStr">
        <is>
          <t>Kumpulkan sertifikat</t>
        </is>
      </c>
      <c r="H19" s="17" t="inlineStr">
        <is>
          <t>PT Galaksi</t>
        </is>
      </c>
      <c r="I19" s="17" t="inlineStr"/>
      <c r="J19" s="17" t="inlineStr"/>
    </row>
    <row r="20">
      <c r="A20" s="17" t="inlineStr">
        <is>
          <t>AX-16</t>
        </is>
      </c>
      <c r="B20" s="17" t="inlineStr">
        <is>
          <t>Organisasi</t>
        </is>
      </c>
      <c r="C20" s="17" t="inlineStr">
        <is>
          <t>ISO 9001 PT Galaksi</t>
        </is>
      </c>
      <c r="D20" s="17" t="inlineStr">
        <is>
          <t>Proses</t>
        </is>
      </c>
      <c r="E20" s="17" t="inlineStr">
        <is>
          <t>7 Okt 2026</t>
        </is>
      </c>
      <c r="F20" s="17" t="inlineStr">
        <is>
          <t>Audit dijadwalkan Okt 2026</t>
        </is>
      </c>
      <c r="G20" s="17" t="inlineStr">
        <is>
          <t>Konfirmasi hasil audit</t>
        </is>
      </c>
      <c r="H20" s="17" t="inlineStr">
        <is>
          <t>PT Galaksi</t>
        </is>
      </c>
      <c r="I20" s="17" t="inlineStr"/>
      <c r="J20" s="17" t="inlineStr"/>
    </row>
    <row r="21">
      <c r="A21" s="17" t="inlineStr">
        <is>
          <t>AX-17</t>
        </is>
      </c>
      <c r="B21" s="17" t="inlineStr">
        <is>
          <t>Kontrak</t>
        </is>
      </c>
      <c r="C21" s="17" t="inlineStr">
        <is>
          <t>Termin 1 sertifikasi: uji internal disaksikan Pertamina + berita acara</t>
        </is>
      </c>
      <c r="D21" s="17" t="inlineStr">
        <is>
          <t>Belum</t>
        </is>
      </c>
      <c r="E21" s="17" t="inlineStr">
        <is>
          <t>30 Sep 2026</t>
        </is>
      </c>
      <c r="F21" s="17" t="inlineStr">
        <is>
          <t>Harus sebelum sampel diuji lab; penilaian oleh Pertamina</t>
        </is>
      </c>
      <c r="G21" s="17" t="inlineStr">
        <is>
          <t>Jadwalkan sesi witness</t>
        </is>
      </c>
      <c r="H21" s="17" t="inlineStr">
        <is>
          <t>LGU</t>
        </is>
      </c>
      <c r="I21" s="17" t="inlineStr"/>
      <c r="J21" s="17" t="inlineStr"/>
    </row>
    <row r="22">
      <c r="A22" s="17" t="inlineStr">
        <is>
          <t>AX-18</t>
        </is>
      </c>
      <c r="B22" s="17" t="inlineStr">
        <is>
          <t>Terkait</t>
        </is>
      </c>
      <c r="C22" s="17" t="inlineStr">
        <is>
          <t>Uji IP66 (sheet Rencana IP)</t>
        </is>
      </c>
      <c r="D22" s="17" t="inlineStr">
        <is>
          <t>Belum</t>
        </is>
      </c>
      <c r="E22" s="17" t="inlineStr">
        <is>
          <t>28 Oktober 2026</t>
        </is>
      </c>
      <c r="F22" s="17" t="inlineStr"/>
      <c r="G22" s="17" t="inlineStr">
        <is>
          <t>Lihat IP-02 &amp; IP-11</t>
        </is>
      </c>
      <c r="H22" s="17" t="inlineStr">
        <is>
          <t>LGU</t>
        </is>
      </c>
      <c r="I22" s="17" t="inlineStr"/>
      <c r="J22" s="17" t="inlineStr"/>
    </row>
    <row r="23">
      <c r="A23" s="17" t="inlineStr">
        <is>
          <t>AX-19</t>
        </is>
      </c>
      <c r="B23" s="17" t="inlineStr">
        <is>
          <t>Terkait</t>
        </is>
      </c>
      <c r="C23" s="17" t="inlineStr">
        <is>
          <t>EMC (sheet Checklist EMC)</t>
        </is>
      </c>
      <c r="D23" s="17" t="inlineStr">
        <is>
          <t>Sebagian</t>
        </is>
      </c>
      <c r="E23" s="17" t="inlineStr">
        <is>
          <t>28 Oktober 2026</t>
        </is>
      </c>
      <c r="F23" s="17" t="inlineStr">
        <is>
          <t>Pre-scan emisi selesai; imunitas belum</t>
        </is>
      </c>
      <c r="G23" s="17" t="inlineStr">
        <is>
          <t>Lihat EMC-06…EMC-18</t>
        </is>
      </c>
      <c r="H23" s="17" t="inlineStr">
        <is>
          <t>LGU</t>
        </is>
      </c>
      <c r="I23" s="17" t="inlineStr"/>
      <c r="J23" s="17" t="inlineStr"/>
    </row>
    <row r="24">
      <c r="A24" s="17" t="inlineStr">
        <is>
          <t>AX-20</t>
        </is>
      </c>
      <c r="B24" s="17" t="inlineStr">
        <is>
          <t>Terkait</t>
        </is>
      </c>
      <c r="C24" s="17" t="inlineStr">
        <is>
          <t>RF / SDPPI (sheet Rencana RF)</t>
        </is>
      </c>
      <c r="D24" s="17" t="inlineStr">
        <is>
          <t>Belum</t>
        </is>
      </c>
      <c r="E24" s="17" t="inlineStr">
        <is>
          <t>28 Oktober 2026</t>
        </is>
      </c>
      <c r="F24" s="17" t="inlineStr"/>
      <c r="G24" s="17" t="inlineStr">
        <is>
          <t>Lihat RF-01…RF-03</t>
        </is>
      </c>
      <c r="H24" s="17" t="inlineStr">
        <is>
          <t>LGU</t>
        </is>
      </c>
      <c r="I24" s="17" t="inlineStr"/>
      <c r="J24" s="17" t="inlineStr"/>
    </row>
  </sheetData>
  <autoFilter ref="A4:J24"/>
  <mergeCells count="2">
    <mergeCell ref="A1:J1"/>
    <mergeCell ref="A2:J2"/>
  </mergeCells>
  <conditionalFormatting sqref="D5:D74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1">
      <formula>"Sebagian"</formula>
    </cfRule>
    <cfRule type="cellIs" priority="4" operator="equal" dxfId="2">
      <formula>"Menunggu"</formula>
    </cfRule>
    <cfRule type="cellIs" priority="5" operator="equal" dxfId="3">
      <formula>"Selesai"</formula>
    </cfRule>
    <cfRule type="cellIs" priority="6" operator="equal" dxfId="4">
      <formula>"N.A."</formula>
    </cfRule>
  </conditionalFormatting>
  <dataValidations count="1">
    <dataValidation sqref="D5:D74" showDropDown="0" showInputMessage="0" showErrorMessage="0" allowBlank="1" type="list">
      <formula1>"Belum,Proses,Sebagian,Menunggu,Selesai,N.A."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22" customWidth="1" min="4" max="4"/>
    <col width="16" customWidth="1" min="5" max="5"/>
  </cols>
  <sheetData>
    <row r="1" ht="24" customHeight="1">
      <c r="A1" s="14" t="inlineStr">
        <is>
          <t>Log perkembangan ATEX</t>
        </is>
      </c>
    </row>
    <row r="2" ht="42" customHeight="1">
      <c r="A2" s="15" t="inlineStr">
        <is>
          <t>Tambahkan satu baris setiap ada perkembangan (umpan balik GTS, uji, dokumen baru).</t>
        </is>
      </c>
    </row>
    <row r="4">
      <c r="A4" s="16" t="inlineStr">
        <is>
          <t>Tanggal</t>
        </is>
      </c>
      <c r="B4" s="16" t="inlineStr">
        <is>
          <t>ID terkait</t>
        </is>
      </c>
      <c r="C4" s="16" t="inlineStr">
        <is>
          <t>Perkembangan</t>
        </is>
      </c>
      <c r="D4" s="16" t="inlineStr">
        <is>
          <t>Sumber</t>
        </is>
      </c>
      <c r="E4" s="16" t="inlineStr">
        <is>
          <t>Dicatat oleh</t>
        </is>
      </c>
    </row>
    <row r="5">
      <c r="A5" s="17" t="inlineStr">
        <is>
          <t>29 Sep 2026</t>
        </is>
      </c>
      <c r="B5" s="17" t="inlineStr">
        <is>
          <t>AX-01</t>
        </is>
      </c>
      <c r="C5" s="17" t="inlineStr">
        <is>
          <t>Form aplikasi &amp; dossier dikirim ke GTS</t>
        </is>
      </c>
      <c r="D5" s="17" t="inlineStr">
        <is>
          <t>Berkas terkirim</t>
        </is>
      </c>
      <c r="E5" s="17" t="inlineStr">
        <is>
          <t>LGU</t>
        </is>
      </c>
    </row>
    <row r="6">
      <c r="A6" s="17" t="inlineStr">
        <is>
          <t>30 Sep 2026</t>
        </is>
      </c>
      <c r="B6" s="17" t="inlineStr">
        <is>
          <t>AX-11</t>
        </is>
      </c>
      <c r="C6" s="17" t="inlineStr">
        <is>
          <t>Data suhu pertama: ekstrapolasi ≈ 114 °C vs batas efektif T4 130 °C</t>
        </is>
      </c>
      <c r="D6" s="17" t="inlineStr">
        <is>
          <t>Uji internal</t>
        </is>
      </c>
      <c r="E6" s="17" t="inlineStr">
        <is>
          <t>Lab IoT ITB</t>
        </is>
      </c>
    </row>
    <row r="7">
      <c r="A7" s="17" t="inlineStr">
        <is>
          <t>7–8 Okt 2026</t>
        </is>
      </c>
      <c r="B7" s="17" t="inlineStr">
        <is>
          <t>AX-03</t>
        </is>
      </c>
      <c r="C7" s="17" t="inlineStr">
        <is>
          <t>Dokumen Teknis Sertifikasi diaudit vs Panduan Revisi; kontradiksi dibetulkan</t>
        </is>
      </c>
      <c r="D7" s="17" t="inlineStr">
        <is>
          <t>Dokumen rev 2.8–2.9</t>
        </is>
      </c>
      <c r="E7" s="17" t="inlineStr">
        <is>
          <t>LGU</t>
        </is>
      </c>
    </row>
    <row r="8">
      <c r="A8" s="17" t="inlineStr">
        <is>
          <t>12 Okt 2026</t>
        </is>
      </c>
      <c r="B8" s="17" t="inlineStr">
        <is>
          <t>AX-05</t>
        </is>
      </c>
      <c r="C8" s="17" t="inlineStr">
        <is>
          <t>Surat pengantar sampel ke GTS &amp; surat keterangan Bea Cukai disiapkan</t>
        </is>
      </c>
      <c r="D8" s="17" t="inlineStr">
        <is>
          <t>Surat</t>
        </is>
      </c>
      <c r="E8" s="17" t="inlineStr">
        <is>
          <t>LGU</t>
        </is>
      </c>
    </row>
    <row r="9">
      <c r="A9" s="17" t="inlineStr">
        <is>
          <t>15 Okt 2026</t>
        </is>
      </c>
      <c r="B9" s="17" t="inlineStr">
        <is>
          <t>AX-19</t>
        </is>
      </c>
      <c r="C9" s="17" t="inlineStr">
        <is>
          <t>Pre-scan EMC GLD &amp; CH di Telkom Test House</t>
        </is>
      </c>
      <c r="D9" s="17" t="inlineStr">
        <is>
          <t>Laporan EMC</t>
        </is>
      </c>
      <c r="E9" s="17" t="inlineStr">
        <is>
          <t>Lab IoT ITB</t>
        </is>
      </c>
    </row>
    <row r="10">
      <c r="A10" s="17" t="inlineStr">
        <is>
          <t>28 Okt 2026</t>
        </is>
      </c>
      <c r="B10" s="17" t="inlineStr">
        <is>
          <t>—</t>
        </is>
      </c>
      <c r="C10" s="17" t="inlineStr">
        <is>
          <t>Checklist EMC, rencana IP &amp; RF, dan monitor ATEX dibuat</t>
        </is>
      </c>
      <c r="D10" s="17" t="inlineStr">
        <is>
          <t>Workbook ini</t>
        </is>
      </c>
      <c r="E10" s="17" t="inlineStr">
        <is>
          <t>LGU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2026-10-28T00:18:34Z</dcterms:created>
  <dcterms:modified xmlns:dcterms="http://purl.org/dc/terms/" xmlns:xsi="http://www.w3.org/2001/XMLSchema-instance" xsi:type="dcterms:W3CDTF">2026-10-28T00:18:34Z</dcterms:modified>
</cp:coreProperties>
</file>